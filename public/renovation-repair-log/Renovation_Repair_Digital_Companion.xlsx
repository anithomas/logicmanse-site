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lcome &amp; How To Use" sheetId="1" state="visible" r:id="rId3"/>
    <sheet name="Portfolio Summary" sheetId="2" state="visible" r:id="rId4"/>
    <sheet name="Portfolio Summary at a Glance" sheetId="3" state="visible" r:id="rId5"/>
    <sheet name="Project Tracker" sheetId="4" state="visible" r:id="rId6"/>
    <sheet name="Contractor &amp; Quote Comparison" sheetId="5" state="visible" r:id="rId7"/>
    <sheet name="Permit &amp; Inspection Tracker" sheetId="6" state="visible" r:id="rId8"/>
    <sheet name="Budget vs. Actual" sheetId="7" state="visible" r:id="rId9"/>
    <sheet name="Materials &amp; Product Reference" sheetId="8" state="visible" r:id="rId10"/>
    <sheet name="Photo Log" sheetId="9" state="visible" r:id="rId11"/>
    <sheet name="Property Systems &amp; Appliances" sheetId="10" state="visible" r:id="rId12"/>
    <sheet name="Emergency Contacts &amp; Shut-offs" sheetId="11" state="visible" r:id="rId13"/>
    <sheet name="Seasonal Maintenance Checklist" sheetId="12" state="visible" r:id="rId14"/>
    <sheet name="Contractor Performance Review" sheetId="13" state="visible" r:id="rId15"/>
    <sheet name="Vendor &amp; Contractor Directory" sheetId="14" state="visible" r:id="rId16"/>
    <sheet name="Renovation Spend by Property" sheetId="15" state="visible" r:id="rId17"/>
    <sheet name="Capital Improvements Log" sheetId="16" state="visible" r:id="rId18"/>
    <sheet name="Annual Budget Planner" sheetId="17" state="visible" r:id="rId19"/>
    <sheet name="Repair vs Capital Reference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<sst xmlns="http://schemas.openxmlformats.org/spreadsheetml/2006/main" count="421" uniqueCount="250">
  <si>
    <t xml:space="preserve">THE RENOVATION &amp; REPAIR RECORD BOOK — DIGITAL COMPANION</t>
  </si>
  <si>
    <t xml:space="preserve">Free with the printed book, by @Antz  ·  LogicManse Publications  ·  https://www.logicmanse.ca/RenovationRepairLog</t>
  </si>
  <si>
    <t xml:space="preserve">HOW THIS PAIRS WITH THE PRINTED BOOK</t>
  </si>
  <si>
    <t xml:space="preserve">This workbook covers the same ground as the paperback — properties, projects, contractor quotes, permits, budgets, materials, and photo logs — but it does the adding up for you. Keep the book for a paper trail you can hand a contractor, inspector, or accountant; use this workbook when you want a running total without reaching for a calculator.</t>
  </si>
  <si>
    <t xml:space="preserve">HOW TO USE THIS WORKBOOK</t>
  </si>
  <si>
    <t xml:space="preserve">•  Set up once per property — fill in Portfolio Summary and Project Tracker when you start a property or project; you'll rarely touch either again for that row.</t>
  </si>
  <si>
    <t xml:space="preserve">•  Every log tab points back to Project Tracker — use the Project dropdown on Contractor &amp; Quote Comparison, Permit &amp; Inspection Tracker, Budget vs. Actual, Materials &amp; Product Reference, Photo Log, and Contractor Performance Review, rather than retyping the project name.</t>
  </si>
  <si>
    <t xml:space="preserve">•  Log a quote the day you get it — Contractor &amp; Quote Comparison, one row per quote, so a comparison made months apart still reads the same way.</t>
  </si>
  <si>
    <t xml:space="preserve">•  Log an expense as it happens — Budget vs. Actual, one line per line item, the day the money moves, not at tax time.</t>
  </si>
  <si>
    <t xml:space="preserve">•  Renovation Spend by Property adds itself up — it reads every row of Budget vs. Actual automatically; nothing there needs to be typed.</t>
  </si>
  <si>
    <t xml:space="preserve">•  Repair vs. Capital Improvement Reference is a record, not an answer — exactly like the printed page it mirrors, it exists to hold what your own accountant or tax authority told you, never a guess made while the invoice is still on the counter.</t>
  </si>
  <si>
    <t xml:space="preserve">•  Check Key Dates and Seasonal Maintenance monthly — a five-second glance catches a permit deadline or an overdue filter change before it's a problem.</t>
  </si>
  <si>
    <t xml:space="preserve">Legend: cells shaded pale gray and italic are worked examples — overwrite or clear them. Every other blank cell in this workbook is yours to fill in.</t>
  </si>
  <si>
    <t xml:space="preserve">PROPERTY PORTFOLIO SUMMARY</t>
  </si>
  <si>
    <t xml:space="preserve">One row per property — up to 4. Fill in once; every other tab looks up properties by the name in column A.</t>
  </si>
  <si>
    <t xml:space="preserve">Property (nickname or address)</t>
  </si>
  <si>
    <t xml:space="preserve">Year built</t>
  </si>
  <si>
    <t xml:space="preserve">Roof age</t>
  </si>
  <si>
    <t xml:space="preserve">HVAC age</t>
  </si>
  <si>
    <t xml:space="preserve">Electrical panel</t>
  </si>
  <si>
    <t xml:space="preserve">Water heater age</t>
  </si>
  <si>
    <t xml:space="preserve">Maple St Duplex</t>
  </si>
  <si>
    <t xml:space="preserve">12 years</t>
  </si>
  <si>
    <t xml:space="preserve">4 years</t>
  </si>
  <si>
    <t xml:space="preserve">100A, updated 2019</t>
  </si>
  <si>
    <t xml:space="preserve">6 years</t>
  </si>
  <si>
    <t xml:space="preserve">Property 2</t>
  </si>
  <si>
    <t xml:space="preserve">Property 3</t>
  </si>
  <si>
    <t xml:space="preserve">Property 4</t>
  </si>
  <si>
    <t xml:space="preserve">Row 5 is a worked example (gray italic) — overwrite it with Property 1's real details, or clear it if you have fewer than 4 properties.</t>
  </si>
  <si>
    <t xml:space="preserve">PORTFOLIO SUMMARY AT A GLANCE</t>
  </si>
  <si>
    <t xml:space="preserve">Every number below reads live from the tabs you fill in elsewhere.</t>
  </si>
  <si>
    <t xml:space="preserve">Total properties tracked in this book</t>
  </si>
  <si>
    <t xml:space="preserve">Total renovation/repair projects logged</t>
  </si>
  <si>
    <t xml:space="preserve">Total spend to date (sum of every property's Actual column)</t>
  </si>
  <si>
    <t xml:space="preserve">Projects currently in progress</t>
  </si>
  <si>
    <t xml:space="preserve">Projects completed</t>
  </si>
  <si>
    <t xml:space="preserve">Projects on hold or deferred</t>
  </si>
  <si>
    <t xml:space="preserve">Next project planned, and for which property (fill in by hand)</t>
  </si>
  <si>
    <t xml:space="preserve">“Next project planned” has no reliable formula — it depends on your own priorities, not a date field — so it's left as a plain fill-in cell rather than a formula pretending to compute it.</t>
  </si>
  <si>
    <t xml:space="preserve">PROJECT TRACKER</t>
  </si>
  <si>
    <t xml:space="preserve">Up to 5 renovation or repair projects per property — the anchor every other tab's Project dropdown pulls from.</t>
  </si>
  <si>
    <t xml:space="preserve">Property</t>
  </si>
  <si>
    <t xml:space="preserve">Project name</t>
  </si>
  <si>
    <t xml:space="preserve">Scope (one line)</t>
  </si>
  <si>
    <t xml:space="preserve">Target start</t>
  </si>
  <si>
    <t xml:space="preserve">Target finish</t>
  </si>
  <si>
    <t xml:space="preserve">Status</t>
  </si>
  <si>
    <t xml:space="preserve">Project ID (auto — don't edit)</t>
  </si>
  <si>
    <t xml:space="preserve">Kitchen refresh</t>
  </si>
  <si>
    <t xml:space="preserve">Cabinets, counters, backsplash</t>
  </si>
  <si>
    <t xml:space="preserve">2026-03-01</t>
  </si>
  <si>
    <t xml:space="preserve">2026-04-15</t>
  </si>
  <si>
    <t xml:space="preserve">In Progress</t>
  </si>
  <si>
    <t xml:space="preserve">Row 5 is a worked example. Column G builds automatically from columns A and B — every other tab's Project dropdown reads from column G, so two properties can each have a “Kitchen refresh” without the workbook mixing them up.</t>
  </si>
  <si>
    <t xml:space="preserve">CONTRACTOR &amp; QUOTE COMPARISON</t>
  </si>
  <si>
    <t xml:space="preserve">One row per quote received — pick the Project from the dropdown.</t>
  </si>
  <si>
    <t xml:space="preserve">Project</t>
  </si>
  <si>
    <t xml:space="preserve">Contractor</t>
  </si>
  <si>
    <t xml:space="preserve">Quote amount</t>
  </si>
  <si>
    <t xml:space="preserve">Timeline</t>
  </si>
  <si>
    <t xml:space="preserve">References checked?</t>
  </si>
  <si>
    <t xml:space="preserve">Selected?</t>
  </si>
  <si>
    <t xml:space="preserve">Maple St Duplex — Kitchen refresh</t>
  </si>
  <si>
    <t xml:space="preserve">Riverside Kitchens &amp; Cabinetry</t>
  </si>
  <si>
    <t xml:space="preserve">5 weeks</t>
  </si>
  <si>
    <t xml:space="preserve">Yes</t>
  </si>
  <si>
    <t xml:space="preserve">Row 5 is a worked example. Add more rows the same way if 30 quotes isn't enough — copy a blank row's formatting down.</t>
  </si>
  <si>
    <t xml:space="preserve">PERMIT &amp; INSPECTION TRACKER</t>
  </si>
  <si>
    <t xml:space="preserve">One row per permit — pick the Project from the dropdown.</t>
  </si>
  <si>
    <t xml:space="preserve">Permit type</t>
  </si>
  <si>
    <t xml:space="preserve">Date applied</t>
  </si>
  <si>
    <t xml:space="preserve">Date issued</t>
  </si>
  <si>
    <t xml:space="preserve">Inspection date(s)</t>
  </si>
  <si>
    <t xml:space="preserve">Result</t>
  </si>
  <si>
    <t xml:space="preserve">Electrical</t>
  </si>
  <si>
    <t xml:space="preserve">2026-02-20</t>
  </si>
  <si>
    <t xml:space="preserve">2026-04-18</t>
  </si>
  <si>
    <t xml:space="preserve">Pass</t>
  </si>
  <si>
    <t xml:space="preserve">Row 5 is a worked example.</t>
  </si>
  <si>
    <t xml:space="preserve">BUDGET VS. ACTUAL</t>
  </si>
  <si>
    <t xml:space="preserve">One row per line item — pick the Project from the dropdown. Variance calculates itself.</t>
  </si>
  <si>
    <t xml:space="preserve">Line item</t>
  </si>
  <si>
    <t xml:space="preserve">Budgeted</t>
  </si>
  <si>
    <t xml:space="preserve">Actual</t>
  </si>
  <si>
    <t xml:space="preserve">Variance</t>
  </si>
  <si>
    <t xml:space="preserve">Why</t>
  </si>
  <si>
    <t xml:space="preserve">Cabinets &amp; installation</t>
  </si>
  <si>
    <t xml:space="preserve">Upgraded to soft-close hinges mid-project</t>
  </si>
  <si>
    <t xml:space="preserve">Row 5 is a worked example. Column E (Variance = Budgeted − Actual) calculates itself — positive means under budget, negative (shown in parentheses) means over. This tab feeds Renovation Spend by Property automatically.</t>
  </si>
  <si>
    <t xml:space="preserve">MATERIALS, FIXTURES &amp; PRODUCT REFERENCE</t>
  </si>
  <si>
    <t xml:space="preserve">One row per item — pick the Project from the dropdown.</t>
  </si>
  <si>
    <t xml:space="preserve">Item</t>
  </si>
  <si>
    <t xml:space="preserve">Brand</t>
  </si>
  <si>
    <t xml:space="preserve">Model / colour code</t>
  </si>
  <si>
    <t xml:space="preserve">Supplier</t>
  </si>
  <si>
    <t xml:space="preserve">Purchase date</t>
  </si>
  <si>
    <t xml:space="preserve">Countertop</t>
  </si>
  <si>
    <t xml:space="preserve">Caesarstone</t>
  </si>
  <si>
    <t xml:space="preserve">Pure White 6131</t>
  </si>
  <si>
    <t xml:space="preserve">Downtown Stone Supply</t>
  </si>
  <si>
    <t xml:space="preserve">2026-03-10</t>
  </si>
  <si>
    <t xml:space="preserve">BEFORE / DURING / AFTER PHOTO LOG</t>
  </si>
  <si>
    <t xml:space="preserve">This workbook logs where each photo lives — it doesn't store images itself. Pick the Project from the dropdown.</t>
  </si>
  <si>
    <t xml:space="preserve">Date</t>
  </si>
  <si>
    <t xml:space="preserve">Stage (before/during/after)</t>
  </si>
  <si>
    <t xml:space="preserve">Filename or album</t>
  </si>
  <si>
    <t xml:space="preserve">Note</t>
  </si>
  <si>
    <t xml:space="preserve">Before</t>
  </si>
  <si>
    <t xml:space="preserve">Photos/MapleKitchen/before_01.jpg</t>
  </si>
  <si>
    <t xml:space="preserve">Original 1980s layout, for comparison</t>
  </si>
  <si>
    <t xml:space="preserve">PROPERTY SYSTEMS &amp; APPLIANCE REFERENCE</t>
  </si>
  <si>
    <t xml:space="preserve">One block per property — the same 12 systems/appliances repeat for each.</t>
  </si>
  <si>
    <t xml:space="preserve">System / appliance</t>
  </si>
  <si>
    <t xml:space="preserve">Brand / model</t>
  </si>
  <si>
    <t xml:space="preserve">Install date</t>
  </si>
  <si>
    <t xml:space="preserve">Expected lifespan</t>
  </si>
  <si>
    <t xml:space="preserve">Serviced by</t>
  </si>
  <si>
    <t xml:space="preserve">Roof</t>
  </si>
  <si>
    <t xml:space="preserve">GAF Timberline HDZ</t>
  </si>
  <si>
    <t xml:space="preserve">2014-09-01</t>
  </si>
  <si>
    <t xml:space="preserve">25-year shingle</t>
  </si>
  <si>
    <t xml:space="preserve">Summit Roofing</t>
  </si>
  <si>
    <t xml:space="preserve">Furnace / HVAC system</t>
  </si>
  <si>
    <t xml:space="preserve">Water heater</t>
  </si>
  <si>
    <t xml:space="preserve">Refrigerator</t>
  </si>
  <si>
    <t xml:space="preserve">Range / oven</t>
  </si>
  <si>
    <t xml:space="preserve">Washer</t>
  </si>
  <si>
    <t xml:space="preserve">Dryer</t>
  </si>
  <si>
    <t xml:space="preserve">Dishwasher</t>
  </si>
  <si>
    <t xml:space="preserve">Windows (overall)</t>
  </si>
  <si>
    <t xml:space="preserve">Garage door opener</t>
  </si>
  <si>
    <t xml:space="preserve">Smoke &amp; CO detectors</t>
  </si>
  <si>
    <t xml:space="preserve">Column A fills itself from Portfolio Summary — leave a property's block blank if you have fewer than 4 properties. Row 5 is a worked example.</t>
  </si>
  <si>
    <t xml:space="preserve">EMERGENCY CONTACTS &amp; UTILITY SHUT-OFFS</t>
  </si>
  <si>
    <t xml:space="preserve">One block per property.</t>
  </si>
  <si>
    <t xml:space="preserve">Field</t>
  </si>
  <si>
    <t xml:space="preserve">Value</t>
  </si>
  <si>
    <t xml:space="preserve">Gas shut-off location</t>
  </si>
  <si>
    <t xml:space="preserve">Basement, north wall, next to the meter</t>
  </si>
  <si>
    <t xml:space="preserve">Water main shut-off location</t>
  </si>
  <si>
    <t xml:space="preserve">Electrical panel location</t>
  </si>
  <si>
    <t xml:space="preserve">Gas utility company &amp; account line</t>
  </si>
  <si>
    <t xml:space="preserve">Electric utility company &amp; account line</t>
  </si>
  <si>
    <t xml:space="preserve">Water / sewer utility company &amp; account line</t>
  </si>
  <si>
    <t xml:space="preserve">Property manager or on-call contact</t>
  </si>
  <si>
    <t xml:space="preserve">A 24-hour plumber/electrician on file for this property</t>
  </si>
  <si>
    <t xml:space="preserve">Alarm / security company &amp; code holder</t>
  </si>
  <si>
    <t xml:space="preserve">Non-emergency police/fire line for this municipality</t>
  </si>
  <si>
    <t xml:space="preserve">Column A fills itself from Portfolio Summary. Row 5 is a worked example.</t>
  </si>
  <si>
    <t xml:space="preserve">SEASONAL MAINTENANCE CHECKLIST</t>
  </si>
  <si>
    <t xml:space="preserve">Task</t>
  </si>
  <si>
    <t xml:space="preserve">Season due</t>
  </si>
  <si>
    <t xml:space="preserve">Done on</t>
  </si>
  <si>
    <t xml:space="preserve">Notes</t>
  </si>
  <si>
    <t xml:space="preserve">Clean gutters &amp; downspouts</t>
  </si>
  <si>
    <t xml:space="preserve">Fall</t>
  </si>
  <si>
    <t xml:space="preserve">2026-10-12</t>
  </si>
  <si>
    <t xml:space="preserve">Inspect roof &amp; flashing</t>
  </si>
  <si>
    <t xml:space="preserve">Test smoke &amp; CO detectors</t>
  </si>
  <si>
    <t xml:space="preserve">Change HVAC filter</t>
  </si>
  <si>
    <t xml:space="preserve">Service furnace / AC</t>
  </si>
  <si>
    <t xml:space="preserve">Inspect caulking &amp; weatherstripping</t>
  </si>
  <si>
    <t xml:space="preserve">Flush water heater</t>
  </si>
  <si>
    <t xml:space="preserve">Winterize exterior hose bibs</t>
  </si>
  <si>
    <t xml:space="preserve">Inspect foundation &amp; grading</t>
  </si>
  <si>
    <t xml:space="preserve">Check sump pump</t>
  </si>
  <si>
    <t xml:space="preserve">Inspect exterior paint / siding</t>
  </si>
  <si>
    <t xml:space="preserve">Trim trees &amp; shrubs near structure</t>
  </si>
  <si>
    <t xml:space="preserve">CONTRACTOR PERFORMANCE REVIEW</t>
  </si>
  <si>
    <t xml:space="preserve">One row per completed project — pick the Project from the dropdown.</t>
  </si>
  <si>
    <t xml:space="preserve">Quality (1-5)</t>
  </si>
  <si>
    <t xml:space="preserve">On budget?</t>
  </si>
  <si>
    <t xml:space="preserve">On time?</t>
  </si>
  <si>
    <t xml:space="preserve">Would rehire?</t>
  </si>
  <si>
    <t xml:space="preserve">VENDOR &amp; CONTRACTOR DIRECTORY</t>
  </si>
  <si>
    <t xml:space="preserve">Your go-to contractor by trade.</t>
  </si>
  <si>
    <t xml:space="preserve">Trade</t>
  </si>
  <si>
    <t xml:space="preserve">Company / contact name</t>
  </si>
  <si>
    <t xml:space="preserve">Phone</t>
  </si>
  <si>
    <t xml:space="preserve">Email</t>
  </si>
  <si>
    <t xml:space="preserve">Licence # / insurance confirmed (date)</t>
  </si>
  <si>
    <t xml:space="preserve">General Contractor</t>
  </si>
  <si>
    <t xml:space="preserve">Roofer</t>
  </si>
  <si>
    <t xml:space="preserve">Plumber</t>
  </si>
  <si>
    <t xml:space="preserve">Electrician</t>
  </si>
  <si>
    <t xml:space="preserve">HVAC Technician</t>
  </si>
  <si>
    <t xml:space="preserve">Flooring Installer</t>
  </si>
  <si>
    <t xml:space="preserve">Painter</t>
  </si>
  <si>
    <t xml:space="preserve">Landscaper</t>
  </si>
  <si>
    <t xml:space="preserve">Handyman</t>
  </si>
  <si>
    <t xml:space="preserve">Window &amp; Door Installer</t>
  </si>
  <si>
    <t xml:space="preserve">Insulation Contractor</t>
  </si>
  <si>
    <t xml:space="preserve">Waste &amp; Junk Removal</t>
  </si>
  <si>
    <t xml:space="preserve">Appliance Repair Technician</t>
  </si>
  <si>
    <t xml:space="preserve">Pest Control</t>
  </si>
  <si>
    <t xml:space="preserve">Locksmith</t>
  </si>
  <si>
    <t xml:space="preserve">Pool / Spa Service</t>
  </si>
  <si>
    <t xml:space="preserve">Chimney Sweep</t>
  </si>
  <si>
    <t xml:space="preserve">Septic Service</t>
  </si>
  <si>
    <t xml:space="preserve">Well &amp; Water Treatment</t>
  </si>
  <si>
    <t xml:space="preserve">Foundation / Waterproofing</t>
  </si>
  <si>
    <t xml:space="preserve">Fence &amp; Deck Contractor</t>
  </si>
  <si>
    <t xml:space="preserve">Garage Door Technician</t>
  </si>
  <si>
    <t xml:space="preserve">Property Manager / Superintendent</t>
  </si>
  <si>
    <t xml:space="preserve">Cleaning Service</t>
  </si>
  <si>
    <t xml:space="preserve">RENOVATION SPEND BY PROPERTY</t>
  </si>
  <si>
    <t xml:space="preserve">Every dollar in Budget vs. Actual, rolled up by property — fully automatic.</t>
  </si>
  <si>
    <t xml:space="preserve">Total budgeted (all projects)</t>
  </si>
  <si>
    <t xml:space="preserve">Total actual</t>
  </si>
  <si>
    <t xml:space="preserve">Share of portfolio spend</t>
  </si>
  <si>
    <t xml:space="preserve">PORTFOLIO TOTAL</t>
  </si>
  <si>
    <t xml:space="preserve">Matches each property's rows in Budget vs. Actual by the “Property — Project” text its Project column stores, so nothing here needs to be typed twice.</t>
  </si>
  <si>
    <t xml:space="preserve">CAPITAL IMPROVEMENTS RUNNING LOG</t>
  </si>
  <si>
    <t xml:space="preserve">Portfolio-wide, for tax time — what your accountant told you, not a guess.</t>
  </si>
  <si>
    <t xml:space="preserve">Description</t>
  </si>
  <si>
    <t xml:space="preserve">Amount</t>
  </si>
  <si>
    <t xml:space="preserve">Classification</t>
  </si>
  <si>
    <t xml:space="preserve">Kitchen refresh — full cabinet &amp; counter replacement</t>
  </si>
  <si>
    <t xml:space="preserve">Capital improvement (confirmed by accountant, 2026-04-20)</t>
  </si>
  <si>
    <t xml:space="preserve">See Repair vs. Capital Improvement Reference tab</t>
  </si>
  <si>
    <t xml:space="preserve">Row 5 is a worked example. Classification is always a transcription of what your accountant or tax authority actually said — see the Repair vs. Capital Improvement Reference tab.</t>
  </si>
  <si>
    <t xml:space="preserve">ANNUAL RENOVATION BUDGET PLANNER</t>
  </si>
  <si>
    <t xml:space="preserve">Forward planning, one row per property per year — four years of runway.</t>
  </si>
  <si>
    <t xml:space="preserve">Year</t>
  </si>
  <si>
    <t xml:space="preserve">Planned project</t>
  </si>
  <si>
    <t xml:space="preserve">Estimated cost</t>
  </si>
  <si>
    <t xml:space="preserve">Priority (1-3)</t>
  </si>
  <si>
    <t xml:space="preserve">Year 1</t>
  </si>
  <si>
    <t xml:space="preserve">Roof replacement</t>
  </si>
  <si>
    <t xml:space="preserve">Year 2</t>
  </si>
  <si>
    <t xml:space="preserve">Year 3</t>
  </si>
  <si>
    <t xml:space="preserve">Year 4</t>
  </si>
  <si>
    <t xml:space="preserve">Column B fills itself from Portfolio Summary. Row 5 is a worked example. Priority 1 = most urgent.</t>
  </si>
  <si>
    <t xml:space="preserve">REPAIR VS. CAPITAL IMPROVEMENT REFERENCE</t>
  </si>
  <si>
    <t xml:space="preserve">A record of what you were told, not a ruling — see “Repair or Capital Improvement?” in the printed book.</t>
  </si>
  <si>
    <t xml:space="preserve">Category</t>
  </si>
  <si>
    <t xml:space="preserve">My tax authority's classification</t>
  </si>
  <si>
    <t xml:space="preserve">Told by (name/firm)</t>
  </si>
  <si>
    <t xml:space="preserve">Date confirmed</t>
  </si>
  <si>
    <t xml:space="preserve">Flooring</t>
  </si>
  <si>
    <t xml:space="preserve">Kitchen</t>
  </si>
  <si>
    <t xml:space="preserve">Bathroom</t>
  </si>
  <si>
    <t xml:space="preserve">Windows &amp; doors</t>
  </si>
  <si>
    <t xml:space="preserve">Plumbing</t>
  </si>
  <si>
    <t xml:space="preserve">Paint &amp; finishes</t>
  </si>
  <si>
    <t xml:space="preserve">Landscaping &amp; exterior</t>
  </si>
  <si>
    <t xml:space="preserve">Structural / foundation</t>
  </si>
  <si>
    <t xml:space="preserve">Appliances</t>
  </si>
  <si>
    <t xml:space="preserve">This tab is deliberately blank until your own accountant or tax authority tells you a classification — the book and this workbook never calculate or imply one.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</si>
</sst>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"/>
    <numFmt numFmtId="167" formatCode="\$#,##0;&quot;($&quot;#,##0\);\-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A302B"/>
      <name val="Arial"/>
      <family val="0"/>
      <charset val="1"/>
    </font>
    <font>
      <sz val="10"/>
      <color rgb="FF6A5A52"/>
      <name val="Arial"/>
      <family val="0"/>
      <charset val="1"/>
    </font>
    <font>
      <b val="true"/>
      <sz val="12"/>
      <color rgb="FFC2624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A5A52"/>
      <name val="Arial"/>
      <family val="0"/>
      <charset val="1"/>
    </font>
    <font>
      <i val="true"/>
      <sz val="10"/>
      <color rgb="FF6A5A52"/>
      <name val="Arial"/>
      <family val="0"/>
      <charset val="1"/>
    </font>
    <font>
      <b val="true"/>
      <sz val="10"/>
      <color rgb="FFF6EED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A302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7"/>
      <rgbColor rgb="FF808080"/>
      <rgbColor rgb="FF9999FF"/>
      <rgbColor rgb="FF993366"/>
      <rgbColor rgb="FFF6EED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624F"/>
      <rgbColor rgb="FF6A5A5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8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3.75" hidden="false" customHeight="true" outlineLevel="0" collapsed="false">
      <c r="A8" s="4" t="s">
        <v>5</v>
      </c>
    </row>
    <row r="9" customFormat="false" ht="33.75" hidden="false" customHeight="true" outlineLevel="0" collapsed="false">
      <c r="A9" s="4" t="s">
        <v>6</v>
      </c>
    </row>
    <row r="10" customFormat="false" ht="33.75" hidden="false" customHeight="true" outlineLevel="0" collapsed="false">
      <c r="A10" s="4" t="s">
        <v>7</v>
      </c>
    </row>
    <row r="11" customFormat="false" ht="33.75" hidden="false" customHeight="true" outlineLevel="0" collapsed="false">
      <c r="A11" s="4" t="s">
        <v>8</v>
      </c>
    </row>
    <row r="12" customFormat="false" ht="33.75" hidden="false" customHeight="true" outlineLevel="0" collapsed="false">
      <c r="A12" s="4" t="s">
        <v>9</v>
      </c>
    </row>
    <row r="13" customFormat="false" ht="33.75" hidden="false" customHeight="true" outlineLevel="0" collapsed="false">
      <c r="A13" s="4" t="s">
        <v>10</v>
      </c>
    </row>
    <row r="14" customFormat="false" ht="33.75" hidden="false" customHeight="true" outlineLevel="0" collapsed="false">
      <c r="A14" s="4" t="s">
        <v>11</v>
      </c>
    </row>
    <row r="16" customFormat="false" ht="15" hidden="false" customHeight="false" outlineLevel="0" collapsed="false">
      <c r="A16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2.0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14</v>
      </c>
    </row>
    <row r="5" customFormat="false" ht="27.75" hidden="false" customHeight="true" outlineLevel="0" collapsed="false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</row>
    <row r="6" customFormat="false" ht="15" hidden="false" customHeight="false" outlineLevel="0" collapsed="false">
      <c r="A6" s="8" t="s">
        <v>21</v>
      </c>
      <c r="B6" s="8" t="n">
        <v>1974</v>
      </c>
      <c r="C6" s="8" t="s">
        <v>22</v>
      </c>
      <c r="D6" s="8" t="s">
        <v>23</v>
      </c>
      <c r="E6" s="8" t="s">
        <v>24</v>
      </c>
      <c r="F6" s="8" t="s">
        <v>25</v>
      </c>
    </row>
    <row r="7" customFormat="false" ht="15" hidden="false" customHeight="false" outlineLevel="0" collapsed="false">
      <c r="A7" s="9" t="s">
        <v>26</v>
      </c>
      <c r="B7" s="9"/>
      <c r="C7" s="9"/>
      <c r="D7" s="9"/>
      <c r="E7" s="9"/>
      <c r="F7" s="9"/>
    </row>
    <row r="8" customFormat="false" ht="15" hidden="false" customHeight="false" outlineLevel="0" collapsed="false">
      <c r="A8" s="9" t="s">
        <v>27</v>
      </c>
      <c r="B8" s="9"/>
      <c r="C8" s="9"/>
      <c r="D8" s="9"/>
      <c r="E8" s="9"/>
      <c r="F8" s="9"/>
    </row>
    <row r="9" customFormat="false" ht="15" hidden="false" customHeight="false" outlineLevel="0" collapsed="false">
      <c r="A9" s="9" t="s">
        <v>28</v>
      </c>
      <c r="B9" s="9"/>
      <c r="C9" s="9"/>
      <c r="D9" s="9"/>
      <c r="E9" s="9"/>
      <c r="F9" s="9"/>
    </row>
    <row r="11" customFormat="false" ht="15" hidden="false" customHeight="false" outlineLevel="0" collapsed="false">
      <c r="A11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4"/>
  </cols>
  <sheetData>
    <row r="1" customFormat="false" ht="22.0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31</v>
      </c>
    </row>
    <row r="5" customFormat="false" ht="15" hidden="false" customHeight="false" outlineLevel="0" collapsed="false">
      <c r="A5" s="10" t="s">
        <v>32</v>
      </c>
      <c r="B5" s="11" t="n">
        <f aca="false">COUNTA('Portfolio Summary'!A6:A9)</f>
        <v>4</v>
      </c>
    </row>
    <row r="7" customFormat="false" ht="15" hidden="false" customHeight="false" outlineLevel="0" collapsed="false">
      <c r="A7" s="10" t="s">
        <v>33</v>
      </c>
      <c r="B7" s="11" t="n">
        <f aca="false">COUNTA('Project Tracker'!B6:B25)</f>
        <v>1</v>
      </c>
    </row>
    <row r="9" customFormat="false" ht="15" hidden="false" customHeight="false" outlineLevel="0" collapsed="false">
      <c r="A9" s="10" t="s">
        <v>34</v>
      </c>
      <c r="B9" s="12" t="n">
        <f aca="false">SUM('Budget vs. Actual'!D6:D65)</f>
        <v>8950</v>
      </c>
    </row>
    <row r="11" customFormat="false" ht="15" hidden="false" customHeight="false" outlineLevel="0" collapsed="false">
      <c r="A11" s="10" t="s">
        <v>35</v>
      </c>
      <c r="B11" s="11" t="n">
        <f aca="false">COUNTIF('Project Tracker'!F6:F25,"In Progress")</f>
        <v>1</v>
      </c>
    </row>
    <row r="13" customFormat="false" ht="15" hidden="false" customHeight="false" outlineLevel="0" collapsed="false">
      <c r="A13" s="10" t="s">
        <v>36</v>
      </c>
      <c r="B13" s="11" t="n">
        <f aca="false">COUNTIF('Project Tracker'!F6:F25,"Completed")</f>
        <v>0</v>
      </c>
    </row>
    <row r="15" customFormat="false" ht="15" hidden="false" customHeight="false" outlineLevel="0" collapsed="false">
      <c r="A15" s="10" t="s">
        <v>37</v>
      </c>
      <c r="B15" s="11" t="n">
        <f aca="false">COUNTIF('Project Tracker'!F6:F25,"On Hold")</f>
        <v>0</v>
      </c>
    </row>
    <row r="17" customFormat="false" ht="15" hidden="false" customHeight="false" outlineLevel="0" collapsed="false">
      <c r="A17" s="10" t="s">
        <v>38</v>
      </c>
      <c r="B17" s="11"/>
    </row>
    <row r="20" customFormat="false" ht="15" hidden="false" customHeight="false" outlineLevel="0" collapsed="false">
      <c r="A20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6" min="4" style="0" width="14"/>
    <col collapsed="false" customWidth="true" hidden="false" outlineLevel="0" max="7" min="7" style="0" width="40"/>
  </cols>
  <sheetData>
    <row r="1" customFormat="false" ht="22.0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41</v>
      </c>
    </row>
    <row r="5" customFormat="false" ht="27.75" hidden="false" customHeight="true" outlineLevel="0" collapsed="false">
      <c r="A5" s="7" t="s">
        <v>42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</row>
    <row r="6" customFormat="false" ht="15" hidden="false" customHeight="false" outlineLevel="0" collapsed="false">
      <c r="A6" s="8" t="s">
        <v>21</v>
      </c>
      <c r="B6" s="8" t="s">
        <v>49</v>
      </c>
      <c r="C6" s="8" t="s">
        <v>50</v>
      </c>
      <c r="D6" s="8" t="s">
        <v>51</v>
      </c>
      <c r="E6" s="8" t="s">
        <v>52</v>
      </c>
      <c r="F6" s="8" t="s">
        <v>53</v>
      </c>
      <c r="G6" s="8" t="str">
        <f aca="false">IF(B6="","",A6&amp;" — "&amp;B6)</f>
        <v>Maple St Duplex — Kitchen refresh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 t="str">
        <f aca="false">IF(B7="","",A7&amp;" — "&amp;B7)</f>
        <v/>
      </c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 t="str">
        <f aca="false">IF(B8="","",A8&amp;" — "&amp;B8)</f>
        <v/>
      </c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 t="str">
        <f aca="false">IF(B9="","",A9&amp;" — "&amp;B9)</f>
        <v/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 t="str">
        <f aca="false">IF(B10="","",A10&amp;" — "&amp;B10)</f>
        <v/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 t="str">
        <f aca="false">IF(B11="","",A11&amp;" — "&amp;B11)</f>
        <v/>
      </c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 t="str">
        <f aca="false">IF(B12="","",A12&amp;" — "&amp;B12)</f>
        <v/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 t="str">
        <f aca="false">IF(B13="","",A13&amp;" — "&amp;B13)</f>
        <v/>
      </c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 t="str">
        <f aca="false">IF(B14="","",A14&amp;" — "&amp;B14)</f>
        <v/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 t="str">
        <f aca="false">IF(B15="","",A15&amp;" — "&amp;B15)</f>
        <v/>
      </c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 t="str">
        <f aca="false">IF(B16="","",A16&amp;" — "&amp;B16)</f>
        <v/>
      </c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 t="str">
        <f aca="false">IF(B17="","",A17&amp;" — "&amp;B17)</f>
        <v/>
      </c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 t="str">
        <f aca="false">IF(B18="","",A18&amp;" — "&amp;B18)</f>
        <v/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 t="str">
        <f aca="false">IF(B19="","",A19&amp;" — "&amp;B19)</f>
        <v/>
      </c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 t="str">
        <f aca="false">IF(B20="","",A20&amp;" — "&amp;B20)</f>
        <v/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 t="str">
        <f aca="false">IF(B21="","",A21&amp;" — "&amp;B21)</f>
        <v/>
      </c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 t="str">
        <f aca="false">IF(B22="","",A22&amp;" — "&amp;B22)</f>
        <v/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 t="str">
        <f aca="false">IF(B23="","",A23&amp;" — "&amp;B23)</f>
        <v/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 t="str">
        <f aca="false">IF(B24="","",A24&amp;" — "&amp;B24)</f>
        <v/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 t="str">
        <f aca="false">IF(B25="","",A25&amp;" — "&amp;B25)</f>
        <v/>
      </c>
    </row>
    <row r="27" customFormat="false" ht="15" hidden="false" customHeight="false" outlineLevel="0" collapsed="false">
      <c r="A27" s="5" t="s">
        <v>54</v>
      </c>
    </row>
  </sheetData>
  <dataValidations count="2">
    <dataValidation allowBlank="true" errorStyle="stop" operator="between" showDropDown="false" showErrorMessage="false" showInputMessage="false" sqref="A6:A25" type="list">
      <formula1>'Portfolio Summary'!$A$6:$A$9</formula1>
      <formula2>0</formula2>
    </dataValidation>
    <dataValidation allowBlank="true" errorStyle="stop" operator="between" showDropDown="false" showErrorMessage="false" showInputMessage="false" sqref="F6:F25" type="list">
      <formula1>"Not Started,In Progress,Completed,On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2.0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56</v>
      </c>
    </row>
    <row r="5" customFormat="false" ht="27.75" hidden="false" customHeight="true" outlineLevel="0" collapsed="false">
      <c r="A5" s="7" t="s">
        <v>57</v>
      </c>
      <c r="B5" s="7" t="s">
        <v>58</v>
      </c>
      <c r="C5" s="7" t="s">
        <v>59</v>
      </c>
      <c r="D5" s="7" t="s">
        <v>60</v>
      </c>
      <c r="E5" s="7" t="s">
        <v>61</v>
      </c>
      <c r="F5" s="7" t="s">
        <v>62</v>
      </c>
    </row>
    <row r="6" customFormat="false" ht="15" hidden="false" customHeight="false" outlineLevel="0" collapsed="false">
      <c r="A6" s="8" t="s">
        <v>63</v>
      </c>
      <c r="B6" s="8" t="s">
        <v>64</v>
      </c>
      <c r="C6" s="13" t="n">
        <v>14200</v>
      </c>
      <c r="D6" s="8" t="s">
        <v>65</v>
      </c>
      <c r="E6" s="8" t="s">
        <v>66</v>
      </c>
      <c r="F6" s="8" t="s">
        <v>66</v>
      </c>
    </row>
    <row r="7" customFormat="false" ht="15" hidden="false" customHeight="false" outlineLevel="0" collapsed="false">
      <c r="A7" s="9"/>
      <c r="B7" s="9"/>
      <c r="C7" s="14"/>
      <c r="D7" s="9"/>
      <c r="E7" s="9"/>
      <c r="F7" s="9"/>
    </row>
    <row r="8" customFormat="false" ht="15" hidden="false" customHeight="false" outlineLevel="0" collapsed="false">
      <c r="A8" s="9"/>
      <c r="B8" s="9"/>
      <c r="C8" s="14"/>
      <c r="D8" s="9"/>
      <c r="E8" s="9"/>
      <c r="F8" s="9"/>
    </row>
    <row r="9" customFormat="false" ht="15" hidden="false" customHeight="false" outlineLevel="0" collapsed="false">
      <c r="A9" s="9"/>
      <c r="B9" s="9"/>
      <c r="C9" s="14"/>
      <c r="D9" s="9"/>
      <c r="E9" s="9"/>
      <c r="F9" s="9"/>
    </row>
    <row r="10" customFormat="false" ht="15" hidden="false" customHeight="false" outlineLevel="0" collapsed="false">
      <c r="A10" s="9"/>
      <c r="B10" s="9"/>
      <c r="C10" s="14"/>
      <c r="D10" s="9"/>
      <c r="E10" s="9"/>
      <c r="F10" s="9"/>
    </row>
    <row r="11" customFormat="false" ht="15" hidden="false" customHeight="false" outlineLevel="0" collapsed="false">
      <c r="A11" s="9"/>
      <c r="B11" s="9"/>
      <c r="C11" s="14"/>
      <c r="D11" s="9"/>
      <c r="E11" s="9"/>
      <c r="F11" s="9"/>
    </row>
    <row r="12" customFormat="false" ht="15" hidden="false" customHeight="false" outlineLevel="0" collapsed="false">
      <c r="A12" s="9"/>
      <c r="B12" s="9"/>
      <c r="C12" s="14"/>
      <c r="D12" s="9"/>
      <c r="E12" s="9"/>
      <c r="F12" s="9"/>
    </row>
    <row r="13" customFormat="false" ht="15" hidden="false" customHeight="false" outlineLevel="0" collapsed="false">
      <c r="A13" s="9"/>
      <c r="B13" s="9"/>
      <c r="C13" s="14"/>
      <c r="D13" s="9"/>
      <c r="E13" s="9"/>
      <c r="F13" s="9"/>
    </row>
    <row r="14" customFormat="false" ht="15" hidden="false" customHeight="false" outlineLevel="0" collapsed="false">
      <c r="A14" s="9"/>
      <c r="B14" s="9"/>
      <c r="C14" s="14"/>
      <c r="D14" s="9"/>
      <c r="E14" s="9"/>
      <c r="F14" s="9"/>
    </row>
    <row r="15" customFormat="false" ht="15" hidden="false" customHeight="false" outlineLevel="0" collapsed="false">
      <c r="A15" s="9"/>
      <c r="B15" s="9"/>
      <c r="C15" s="14"/>
      <c r="D15" s="9"/>
      <c r="E15" s="9"/>
      <c r="F15" s="9"/>
    </row>
    <row r="16" customFormat="false" ht="15" hidden="false" customHeight="false" outlineLevel="0" collapsed="false">
      <c r="A16" s="9"/>
      <c r="B16" s="9"/>
      <c r="C16" s="14"/>
      <c r="D16" s="9"/>
      <c r="E16" s="9"/>
      <c r="F16" s="9"/>
    </row>
    <row r="17" customFormat="false" ht="15" hidden="false" customHeight="false" outlineLevel="0" collapsed="false">
      <c r="A17" s="9"/>
      <c r="B17" s="9"/>
      <c r="C17" s="14"/>
      <c r="D17" s="9"/>
      <c r="E17" s="9"/>
      <c r="F17" s="9"/>
    </row>
    <row r="18" customFormat="false" ht="15" hidden="false" customHeight="false" outlineLevel="0" collapsed="false">
      <c r="A18" s="9"/>
      <c r="B18" s="9"/>
      <c r="C18" s="14"/>
      <c r="D18" s="9"/>
      <c r="E18" s="9"/>
      <c r="F18" s="9"/>
    </row>
    <row r="19" customFormat="false" ht="15" hidden="false" customHeight="false" outlineLevel="0" collapsed="false">
      <c r="A19" s="9"/>
      <c r="B19" s="9"/>
      <c r="C19" s="14"/>
      <c r="D19" s="9"/>
      <c r="E19" s="9"/>
      <c r="F19" s="9"/>
    </row>
    <row r="20" customFormat="false" ht="15" hidden="false" customHeight="false" outlineLevel="0" collapsed="false">
      <c r="A20" s="9"/>
      <c r="B20" s="9"/>
      <c r="C20" s="14"/>
      <c r="D20" s="9"/>
      <c r="E20" s="9"/>
      <c r="F20" s="9"/>
    </row>
    <row r="21" customFormat="false" ht="15" hidden="false" customHeight="false" outlineLevel="0" collapsed="false">
      <c r="A21" s="9"/>
      <c r="B21" s="9"/>
      <c r="C21" s="14"/>
      <c r="D21" s="9"/>
      <c r="E21" s="9"/>
      <c r="F21" s="9"/>
    </row>
    <row r="22" customFormat="false" ht="15" hidden="false" customHeight="false" outlineLevel="0" collapsed="false">
      <c r="A22" s="9"/>
      <c r="B22" s="9"/>
      <c r="C22" s="14"/>
      <c r="D22" s="9"/>
      <c r="E22" s="9"/>
      <c r="F22" s="9"/>
    </row>
    <row r="23" customFormat="false" ht="15" hidden="false" customHeight="false" outlineLevel="0" collapsed="false">
      <c r="A23" s="9"/>
      <c r="B23" s="9"/>
      <c r="C23" s="14"/>
      <c r="D23" s="9"/>
      <c r="E23" s="9"/>
      <c r="F23" s="9"/>
    </row>
    <row r="24" customFormat="false" ht="15" hidden="false" customHeight="false" outlineLevel="0" collapsed="false">
      <c r="A24" s="9"/>
      <c r="B24" s="9"/>
      <c r="C24" s="14"/>
      <c r="D24" s="9"/>
      <c r="E24" s="9"/>
      <c r="F24" s="9"/>
    </row>
    <row r="25" customFormat="false" ht="15" hidden="false" customHeight="false" outlineLevel="0" collapsed="false">
      <c r="A25" s="9"/>
      <c r="B25" s="9"/>
      <c r="C25" s="14"/>
      <c r="D25" s="9"/>
      <c r="E25" s="9"/>
      <c r="F25" s="9"/>
    </row>
    <row r="26" customFormat="false" ht="15" hidden="false" customHeight="false" outlineLevel="0" collapsed="false">
      <c r="A26" s="9"/>
      <c r="B26" s="9"/>
      <c r="C26" s="14"/>
      <c r="D26" s="9"/>
      <c r="E26" s="9"/>
      <c r="F26" s="9"/>
    </row>
    <row r="27" customFormat="false" ht="15" hidden="false" customHeight="false" outlineLevel="0" collapsed="false">
      <c r="A27" s="9"/>
      <c r="B27" s="9"/>
      <c r="C27" s="14"/>
      <c r="D27" s="9"/>
      <c r="E27" s="9"/>
      <c r="F27" s="9"/>
    </row>
    <row r="28" customFormat="false" ht="15" hidden="false" customHeight="false" outlineLevel="0" collapsed="false">
      <c r="A28" s="9"/>
      <c r="B28" s="9"/>
      <c r="C28" s="14"/>
      <c r="D28" s="9"/>
      <c r="E28" s="9"/>
      <c r="F28" s="9"/>
    </row>
    <row r="29" customFormat="false" ht="15" hidden="false" customHeight="false" outlineLevel="0" collapsed="false">
      <c r="A29" s="9"/>
      <c r="B29" s="9"/>
      <c r="C29" s="14"/>
      <c r="D29" s="9"/>
      <c r="E29" s="9"/>
      <c r="F29" s="9"/>
    </row>
    <row r="30" customFormat="false" ht="15" hidden="false" customHeight="false" outlineLevel="0" collapsed="false">
      <c r="A30" s="9"/>
      <c r="B30" s="9"/>
      <c r="C30" s="14"/>
      <c r="D30" s="9"/>
      <c r="E30" s="9"/>
      <c r="F30" s="9"/>
    </row>
    <row r="31" customFormat="false" ht="15" hidden="false" customHeight="false" outlineLevel="0" collapsed="false">
      <c r="A31" s="9"/>
      <c r="B31" s="9"/>
      <c r="C31" s="14"/>
      <c r="D31" s="9"/>
      <c r="E31" s="9"/>
      <c r="F31" s="9"/>
    </row>
    <row r="32" customFormat="false" ht="15" hidden="false" customHeight="false" outlineLevel="0" collapsed="false">
      <c r="A32" s="9"/>
      <c r="B32" s="9"/>
      <c r="C32" s="14"/>
      <c r="D32" s="9"/>
      <c r="E32" s="9"/>
      <c r="F32" s="9"/>
    </row>
    <row r="33" customFormat="false" ht="15" hidden="false" customHeight="false" outlineLevel="0" collapsed="false">
      <c r="A33" s="9"/>
      <c r="B33" s="9"/>
      <c r="C33" s="14"/>
      <c r="D33" s="9"/>
      <c r="E33" s="9"/>
      <c r="F33" s="9"/>
    </row>
    <row r="34" customFormat="false" ht="15" hidden="false" customHeight="false" outlineLevel="0" collapsed="false">
      <c r="A34" s="9"/>
      <c r="B34" s="9"/>
      <c r="C34" s="14"/>
      <c r="D34" s="9"/>
      <c r="E34" s="9"/>
      <c r="F34" s="9"/>
    </row>
    <row r="35" customFormat="false" ht="15" hidden="false" customHeight="false" outlineLevel="0" collapsed="false">
      <c r="A35" s="9"/>
      <c r="B35" s="9"/>
      <c r="C35" s="14"/>
      <c r="D35" s="9"/>
      <c r="E35" s="9"/>
      <c r="F35" s="9"/>
    </row>
    <row r="37" customFormat="false" ht="15" hidden="false" customHeight="false" outlineLevel="0" collapsed="false">
      <c r="A37" s="5" t="s">
        <v>67</v>
      </c>
    </row>
  </sheetData>
  <dataValidations count="3">
    <dataValidation allowBlank="true" errorStyle="stop" operator="between" showDropDown="false" showErrorMessage="false" showInputMessage="false" sqref="A6:A35" type="list">
      <formula1>'Project Tracker'!$G$6:$G$25</formula1>
      <formula2>0</formula2>
    </dataValidation>
    <dataValidation allowBlank="true" errorStyle="stop" operator="between" showDropDown="false" showErrorMessage="false" showInputMessage="false" sqref="E6:E35" type="list">
      <formula1>"Yes,No"</formula1>
      <formula2>0</formula2>
    </dataValidation>
    <dataValidation allowBlank="true" errorStyle="stop" operator="between" showDropDown="false" showErrorMessage="false" showInputMessage="false" sqref="F6:F3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2.0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69</v>
      </c>
    </row>
    <row r="5" customFormat="false" ht="27.75" hidden="false" customHeight="true" outlineLevel="0" collapsed="false">
      <c r="A5" s="7" t="s">
        <v>57</v>
      </c>
      <c r="B5" s="7" t="s">
        <v>70</v>
      </c>
      <c r="C5" s="7" t="s">
        <v>71</v>
      </c>
      <c r="D5" s="7" t="s">
        <v>72</v>
      </c>
      <c r="E5" s="7" t="s">
        <v>73</v>
      </c>
      <c r="F5" s="7" t="s">
        <v>74</v>
      </c>
    </row>
    <row r="6" customFormat="false" ht="15" hidden="false" customHeight="false" outlineLevel="0" collapsed="false">
      <c r="A6" s="8" t="s">
        <v>63</v>
      </c>
      <c r="B6" s="8" t="s">
        <v>75</v>
      </c>
      <c r="C6" s="8" t="s">
        <v>76</v>
      </c>
      <c r="D6" s="8" t="s">
        <v>51</v>
      </c>
      <c r="E6" s="8" t="s">
        <v>77</v>
      </c>
      <c r="F6" s="8" t="s">
        <v>78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7" customFormat="false" ht="15" hidden="false" customHeight="false" outlineLevel="0" collapsed="false">
      <c r="A37" s="5" t="s">
        <v>79</v>
      </c>
    </row>
  </sheetData>
  <dataValidations count="2">
    <dataValidation allowBlank="true" errorStyle="stop" operator="between" showDropDown="false" showErrorMessage="false" showInputMessage="false" sqref="A6:A35" type="list">
      <formula1>'Project Tracker'!$G$6:$G$25</formula1>
      <formula2>0</formula2>
    </dataValidation>
    <dataValidation allowBlank="true" errorStyle="stop" operator="between" showDropDown="false" showErrorMessage="false" showInputMessage="false" sqref="F6:F35" type="list">
      <formula1>"Pending,Pass,Fail,Re-inspection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5" min="3" style="0" width="13"/>
    <col collapsed="false" customWidth="true" hidden="false" outlineLevel="0" max="6" min="6" style="0" width="30"/>
  </cols>
  <sheetData>
    <row r="1" customFormat="false" ht="22.0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81</v>
      </c>
    </row>
    <row r="5" customFormat="false" ht="27.75" hidden="false" customHeight="true" outlineLevel="0" collapsed="false">
      <c r="A5" s="7" t="s">
        <v>57</v>
      </c>
      <c r="B5" s="7" t="s">
        <v>82</v>
      </c>
      <c r="C5" s="7" t="s">
        <v>83</v>
      </c>
      <c r="D5" s="7" t="s">
        <v>84</v>
      </c>
      <c r="E5" s="7" t="s">
        <v>85</v>
      </c>
      <c r="F5" s="7" t="s">
        <v>86</v>
      </c>
    </row>
    <row r="6" customFormat="false" ht="15" hidden="false" customHeight="false" outlineLevel="0" collapsed="false">
      <c r="A6" s="8" t="s">
        <v>63</v>
      </c>
      <c r="B6" s="8" t="s">
        <v>87</v>
      </c>
      <c r="C6" s="13" t="n">
        <v>8500</v>
      </c>
      <c r="D6" s="13" t="n">
        <v>8950</v>
      </c>
      <c r="E6" s="15" t="n">
        <f aca="false">IF(AND(C6="",D6=""),"",C6-D6)</f>
        <v>-450</v>
      </c>
      <c r="F6" s="8" t="s">
        <v>88</v>
      </c>
    </row>
    <row r="7" customFormat="false" ht="15" hidden="false" customHeight="false" outlineLevel="0" collapsed="false">
      <c r="A7" s="9"/>
      <c r="B7" s="9"/>
      <c r="C7" s="14"/>
      <c r="D7" s="14"/>
      <c r="E7" s="16" t="str">
        <f aca="false">IF(AND(C7="",D7=""),"",C7-D7)</f>
        <v/>
      </c>
      <c r="F7" s="9"/>
    </row>
    <row r="8" customFormat="false" ht="15" hidden="false" customHeight="false" outlineLevel="0" collapsed="false">
      <c r="A8" s="9"/>
      <c r="B8" s="9"/>
      <c r="C8" s="14"/>
      <c r="D8" s="14"/>
      <c r="E8" s="16" t="str">
        <f aca="false">IF(AND(C8="",D8=""),"",C8-D8)</f>
        <v/>
      </c>
      <c r="F8" s="9"/>
    </row>
    <row r="9" customFormat="false" ht="15" hidden="false" customHeight="false" outlineLevel="0" collapsed="false">
      <c r="A9" s="9"/>
      <c r="B9" s="9"/>
      <c r="C9" s="14"/>
      <c r="D9" s="14"/>
      <c r="E9" s="16" t="str">
        <f aca="false">IF(AND(C9="",D9=""),"",C9-D9)</f>
        <v/>
      </c>
      <c r="F9" s="9"/>
    </row>
    <row r="10" customFormat="false" ht="15" hidden="false" customHeight="false" outlineLevel="0" collapsed="false">
      <c r="A10" s="9"/>
      <c r="B10" s="9"/>
      <c r="C10" s="14"/>
      <c r="D10" s="14"/>
      <c r="E10" s="16" t="str">
        <f aca="false">IF(AND(C10="",D10=""),"",C10-D10)</f>
        <v/>
      </c>
      <c r="F10" s="9"/>
    </row>
    <row r="11" customFormat="false" ht="15" hidden="false" customHeight="false" outlineLevel="0" collapsed="false">
      <c r="A11" s="9"/>
      <c r="B11" s="9"/>
      <c r="C11" s="14"/>
      <c r="D11" s="14"/>
      <c r="E11" s="16" t="str">
        <f aca="false">IF(AND(C11="",D11=""),"",C11-D11)</f>
        <v/>
      </c>
      <c r="F11" s="9"/>
    </row>
    <row r="12" customFormat="false" ht="15" hidden="false" customHeight="false" outlineLevel="0" collapsed="false">
      <c r="A12" s="9"/>
      <c r="B12" s="9"/>
      <c r="C12" s="14"/>
      <c r="D12" s="14"/>
      <c r="E12" s="16" t="str">
        <f aca="false">IF(AND(C12="",D12=""),"",C12-D12)</f>
        <v/>
      </c>
      <c r="F12" s="9"/>
    </row>
    <row r="13" customFormat="false" ht="15" hidden="false" customHeight="false" outlineLevel="0" collapsed="false">
      <c r="A13" s="9"/>
      <c r="B13" s="9"/>
      <c r="C13" s="14"/>
      <c r="D13" s="14"/>
      <c r="E13" s="16" t="str">
        <f aca="false">IF(AND(C13="",D13=""),"",C13-D13)</f>
        <v/>
      </c>
      <c r="F13" s="9"/>
    </row>
    <row r="14" customFormat="false" ht="15" hidden="false" customHeight="false" outlineLevel="0" collapsed="false">
      <c r="A14" s="9"/>
      <c r="B14" s="9"/>
      <c r="C14" s="14"/>
      <c r="D14" s="14"/>
      <c r="E14" s="16" t="str">
        <f aca="false">IF(AND(C14="",D14=""),"",C14-D14)</f>
        <v/>
      </c>
      <c r="F14" s="9"/>
    </row>
    <row r="15" customFormat="false" ht="15" hidden="false" customHeight="false" outlineLevel="0" collapsed="false">
      <c r="A15" s="9"/>
      <c r="B15" s="9"/>
      <c r="C15" s="14"/>
      <c r="D15" s="14"/>
      <c r="E15" s="16" t="str">
        <f aca="false">IF(AND(C15="",D15=""),"",C15-D15)</f>
        <v/>
      </c>
      <c r="F15" s="9"/>
    </row>
    <row r="16" customFormat="false" ht="15" hidden="false" customHeight="false" outlineLevel="0" collapsed="false">
      <c r="A16" s="9"/>
      <c r="B16" s="9"/>
      <c r="C16" s="14"/>
      <c r="D16" s="14"/>
      <c r="E16" s="16" t="str">
        <f aca="false">IF(AND(C16="",D16=""),"",C16-D16)</f>
        <v/>
      </c>
      <c r="F16" s="9"/>
    </row>
    <row r="17" customFormat="false" ht="15" hidden="false" customHeight="false" outlineLevel="0" collapsed="false">
      <c r="A17" s="9"/>
      <c r="B17" s="9"/>
      <c r="C17" s="14"/>
      <c r="D17" s="14"/>
      <c r="E17" s="16" t="str">
        <f aca="false">IF(AND(C17="",D17=""),"",C17-D17)</f>
        <v/>
      </c>
      <c r="F17" s="9"/>
    </row>
    <row r="18" customFormat="false" ht="15" hidden="false" customHeight="false" outlineLevel="0" collapsed="false">
      <c r="A18" s="9"/>
      <c r="B18" s="9"/>
      <c r="C18" s="14"/>
      <c r="D18" s="14"/>
      <c r="E18" s="16" t="str">
        <f aca="false">IF(AND(C18="",D18=""),"",C18-D18)</f>
        <v/>
      </c>
      <c r="F18" s="9"/>
    </row>
    <row r="19" customFormat="false" ht="15" hidden="false" customHeight="false" outlineLevel="0" collapsed="false">
      <c r="A19" s="9"/>
      <c r="B19" s="9"/>
      <c r="C19" s="14"/>
      <c r="D19" s="14"/>
      <c r="E19" s="16" t="str">
        <f aca="false">IF(AND(C19="",D19=""),"",C19-D19)</f>
        <v/>
      </c>
      <c r="F19" s="9"/>
    </row>
    <row r="20" customFormat="false" ht="15" hidden="false" customHeight="false" outlineLevel="0" collapsed="false">
      <c r="A20" s="9"/>
      <c r="B20" s="9"/>
      <c r="C20" s="14"/>
      <c r="D20" s="14"/>
      <c r="E20" s="16" t="str">
        <f aca="false">IF(AND(C20="",D20=""),"",C20-D20)</f>
        <v/>
      </c>
      <c r="F20" s="9"/>
    </row>
    <row r="21" customFormat="false" ht="15" hidden="false" customHeight="false" outlineLevel="0" collapsed="false">
      <c r="A21" s="9"/>
      <c r="B21" s="9"/>
      <c r="C21" s="14"/>
      <c r="D21" s="14"/>
      <c r="E21" s="16" t="str">
        <f aca="false">IF(AND(C21="",D21=""),"",C21-D21)</f>
        <v/>
      </c>
      <c r="F21" s="9"/>
    </row>
    <row r="22" customFormat="false" ht="15" hidden="false" customHeight="false" outlineLevel="0" collapsed="false">
      <c r="A22" s="9"/>
      <c r="B22" s="9"/>
      <c r="C22" s="14"/>
      <c r="D22" s="14"/>
      <c r="E22" s="16" t="str">
        <f aca="false">IF(AND(C22="",D22=""),"",C22-D22)</f>
        <v/>
      </c>
      <c r="F22" s="9"/>
    </row>
    <row r="23" customFormat="false" ht="15" hidden="false" customHeight="false" outlineLevel="0" collapsed="false">
      <c r="A23" s="9"/>
      <c r="B23" s="9"/>
      <c r="C23" s="14"/>
      <c r="D23" s="14"/>
      <c r="E23" s="16" t="str">
        <f aca="false">IF(AND(C23="",D23=""),"",C23-D23)</f>
        <v/>
      </c>
      <c r="F23" s="9"/>
    </row>
    <row r="24" customFormat="false" ht="15" hidden="false" customHeight="false" outlineLevel="0" collapsed="false">
      <c r="A24" s="9"/>
      <c r="B24" s="9"/>
      <c r="C24" s="14"/>
      <c r="D24" s="14"/>
      <c r="E24" s="16" t="str">
        <f aca="false">IF(AND(C24="",D24=""),"",C24-D24)</f>
        <v/>
      </c>
      <c r="F24" s="9"/>
    </row>
    <row r="25" customFormat="false" ht="15" hidden="false" customHeight="false" outlineLevel="0" collapsed="false">
      <c r="A25" s="9"/>
      <c r="B25" s="9"/>
      <c r="C25" s="14"/>
      <c r="D25" s="14"/>
      <c r="E25" s="16" t="str">
        <f aca="false">IF(AND(C25="",D25=""),"",C25-D25)</f>
        <v/>
      </c>
      <c r="F25" s="9"/>
    </row>
    <row r="26" customFormat="false" ht="15" hidden="false" customHeight="false" outlineLevel="0" collapsed="false">
      <c r="A26" s="9"/>
      <c r="B26" s="9"/>
      <c r="C26" s="14"/>
      <c r="D26" s="14"/>
      <c r="E26" s="16" t="str">
        <f aca="false">IF(AND(C26="",D26=""),"",C26-D26)</f>
        <v/>
      </c>
      <c r="F26" s="9"/>
    </row>
    <row r="27" customFormat="false" ht="15" hidden="false" customHeight="false" outlineLevel="0" collapsed="false">
      <c r="A27" s="9"/>
      <c r="B27" s="9"/>
      <c r="C27" s="14"/>
      <c r="D27" s="14"/>
      <c r="E27" s="16" t="str">
        <f aca="false">IF(AND(C27="",D27=""),"",C27-D27)</f>
        <v/>
      </c>
      <c r="F27" s="9"/>
    </row>
    <row r="28" customFormat="false" ht="15" hidden="false" customHeight="false" outlineLevel="0" collapsed="false">
      <c r="A28" s="9"/>
      <c r="B28" s="9"/>
      <c r="C28" s="14"/>
      <c r="D28" s="14"/>
      <c r="E28" s="16" t="str">
        <f aca="false">IF(AND(C28="",D28=""),"",C28-D28)</f>
        <v/>
      </c>
      <c r="F28" s="9"/>
    </row>
    <row r="29" customFormat="false" ht="15" hidden="false" customHeight="false" outlineLevel="0" collapsed="false">
      <c r="A29" s="9"/>
      <c r="B29" s="9"/>
      <c r="C29" s="14"/>
      <c r="D29" s="14"/>
      <c r="E29" s="16" t="str">
        <f aca="false">IF(AND(C29="",D29=""),"",C29-D29)</f>
        <v/>
      </c>
      <c r="F29" s="9"/>
    </row>
    <row r="30" customFormat="false" ht="15" hidden="false" customHeight="false" outlineLevel="0" collapsed="false">
      <c r="A30" s="9"/>
      <c r="B30" s="9"/>
      <c r="C30" s="14"/>
      <c r="D30" s="14"/>
      <c r="E30" s="16" t="str">
        <f aca="false">IF(AND(C30="",D30=""),"",C30-D30)</f>
        <v/>
      </c>
      <c r="F30" s="9"/>
    </row>
    <row r="31" customFormat="false" ht="15" hidden="false" customHeight="false" outlineLevel="0" collapsed="false">
      <c r="A31" s="9"/>
      <c r="B31" s="9"/>
      <c r="C31" s="14"/>
      <c r="D31" s="14"/>
      <c r="E31" s="16" t="str">
        <f aca="false">IF(AND(C31="",D31=""),"",C31-D31)</f>
        <v/>
      </c>
      <c r="F31" s="9"/>
    </row>
    <row r="32" customFormat="false" ht="15" hidden="false" customHeight="false" outlineLevel="0" collapsed="false">
      <c r="A32" s="9"/>
      <c r="B32" s="9"/>
      <c r="C32" s="14"/>
      <c r="D32" s="14"/>
      <c r="E32" s="16" t="str">
        <f aca="false">IF(AND(C32="",D32=""),"",C32-D32)</f>
        <v/>
      </c>
      <c r="F32" s="9"/>
    </row>
    <row r="33" customFormat="false" ht="15" hidden="false" customHeight="false" outlineLevel="0" collapsed="false">
      <c r="A33" s="9"/>
      <c r="B33" s="9"/>
      <c r="C33" s="14"/>
      <c r="D33" s="14"/>
      <c r="E33" s="16" t="str">
        <f aca="false">IF(AND(C33="",D33=""),"",C33-D33)</f>
        <v/>
      </c>
      <c r="F33" s="9"/>
    </row>
    <row r="34" customFormat="false" ht="15" hidden="false" customHeight="false" outlineLevel="0" collapsed="false">
      <c r="A34" s="9"/>
      <c r="B34" s="9"/>
      <c r="C34" s="14"/>
      <c r="D34" s="14"/>
      <c r="E34" s="16" t="str">
        <f aca="false">IF(AND(C34="",D34=""),"",C34-D34)</f>
        <v/>
      </c>
      <c r="F34" s="9"/>
    </row>
    <row r="35" customFormat="false" ht="15" hidden="false" customHeight="false" outlineLevel="0" collapsed="false">
      <c r="A35" s="9"/>
      <c r="B35" s="9"/>
      <c r="C35" s="14"/>
      <c r="D35" s="14"/>
      <c r="E35" s="16" t="str">
        <f aca="false">IF(AND(C35="",D35=""),"",C35-D35)</f>
        <v/>
      </c>
      <c r="F35" s="9"/>
    </row>
    <row r="36" customFormat="false" ht="15" hidden="false" customHeight="false" outlineLevel="0" collapsed="false">
      <c r="A36" s="9"/>
      <c r="B36" s="9"/>
      <c r="C36" s="14"/>
      <c r="D36" s="14"/>
      <c r="E36" s="16" t="str">
        <f aca="false">IF(AND(C36="",D36=""),"",C36-D36)</f>
        <v/>
      </c>
      <c r="F36" s="9"/>
    </row>
    <row r="37" customFormat="false" ht="15" hidden="false" customHeight="false" outlineLevel="0" collapsed="false">
      <c r="A37" s="9"/>
      <c r="B37" s="9"/>
      <c r="C37" s="14"/>
      <c r="D37" s="14"/>
      <c r="E37" s="16" t="str">
        <f aca="false">IF(AND(C37="",D37=""),"",C37-D37)</f>
        <v/>
      </c>
      <c r="F37" s="9"/>
    </row>
    <row r="38" customFormat="false" ht="15" hidden="false" customHeight="false" outlineLevel="0" collapsed="false">
      <c r="A38" s="9"/>
      <c r="B38" s="9"/>
      <c r="C38" s="14"/>
      <c r="D38" s="14"/>
      <c r="E38" s="16" t="str">
        <f aca="false">IF(AND(C38="",D38=""),"",C38-D38)</f>
        <v/>
      </c>
      <c r="F38" s="9"/>
    </row>
    <row r="39" customFormat="false" ht="15" hidden="false" customHeight="false" outlineLevel="0" collapsed="false">
      <c r="A39" s="9"/>
      <c r="B39" s="9"/>
      <c r="C39" s="14"/>
      <c r="D39" s="14"/>
      <c r="E39" s="16" t="str">
        <f aca="false">IF(AND(C39="",D39=""),"",C39-D39)</f>
        <v/>
      </c>
      <c r="F39" s="9"/>
    </row>
    <row r="40" customFormat="false" ht="15" hidden="false" customHeight="false" outlineLevel="0" collapsed="false">
      <c r="A40" s="9"/>
      <c r="B40" s="9"/>
      <c r="C40" s="14"/>
      <c r="D40" s="14"/>
      <c r="E40" s="16" t="str">
        <f aca="false">IF(AND(C40="",D40=""),"",C40-D40)</f>
        <v/>
      </c>
      <c r="F40" s="9"/>
    </row>
    <row r="41" customFormat="false" ht="15" hidden="false" customHeight="false" outlineLevel="0" collapsed="false">
      <c r="A41" s="9"/>
      <c r="B41" s="9"/>
      <c r="C41" s="14"/>
      <c r="D41" s="14"/>
      <c r="E41" s="16" t="str">
        <f aca="false">IF(AND(C41="",D41=""),"",C41-D41)</f>
        <v/>
      </c>
      <c r="F41" s="9"/>
    </row>
    <row r="42" customFormat="false" ht="15" hidden="false" customHeight="false" outlineLevel="0" collapsed="false">
      <c r="A42" s="9"/>
      <c r="B42" s="9"/>
      <c r="C42" s="14"/>
      <c r="D42" s="14"/>
      <c r="E42" s="16" t="str">
        <f aca="false">IF(AND(C42="",D42=""),"",C42-D42)</f>
        <v/>
      </c>
      <c r="F42" s="9"/>
    </row>
    <row r="43" customFormat="false" ht="15" hidden="false" customHeight="false" outlineLevel="0" collapsed="false">
      <c r="A43" s="9"/>
      <c r="B43" s="9"/>
      <c r="C43" s="14"/>
      <c r="D43" s="14"/>
      <c r="E43" s="16" t="str">
        <f aca="false">IF(AND(C43="",D43=""),"",C43-D43)</f>
        <v/>
      </c>
      <c r="F43" s="9"/>
    </row>
    <row r="44" customFormat="false" ht="15" hidden="false" customHeight="false" outlineLevel="0" collapsed="false">
      <c r="A44" s="9"/>
      <c r="B44" s="9"/>
      <c r="C44" s="14"/>
      <c r="D44" s="14"/>
      <c r="E44" s="16" t="str">
        <f aca="false">IF(AND(C44="",D44=""),"",C44-D44)</f>
        <v/>
      </c>
      <c r="F44" s="9"/>
    </row>
    <row r="45" customFormat="false" ht="15" hidden="false" customHeight="false" outlineLevel="0" collapsed="false">
      <c r="A45" s="9"/>
      <c r="B45" s="9"/>
      <c r="C45" s="14"/>
      <c r="D45" s="14"/>
      <c r="E45" s="16" t="str">
        <f aca="false">IF(AND(C45="",D45=""),"",C45-D45)</f>
        <v/>
      </c>
      <c r="F45" s="9"/>
    </row>
    <row r="46" customFormat="false" ht="15" hidden="false" customHeight="false" outlineLevel="0" collapsed="false">
      <c r="A46" s="9"/>
      <c r="B46" s="9"/>
      <c r="C46" s="14"/>
      <c r="D46" s="14"/>
      <c r="E46" s="16" t="str">
        <f aca="false">IF(AND(C46="",D46=""),"",C46-D46)</f>
        <v/>
      </c>
      <c r="F46" s="9"/>
    </row>
    <row r="47" customFormat="false" ht="15" hidden="false" customHeight="false" outlineLevel="0" collapsed="false">
      <c r="A47" s="9"/>
      <c r="B47" s="9"/>
      <c r="C47" s="14"/>
      <c r="D47" s="14"/>
      <c r="E47" s="16" t="str">
        <f aca="false">IF(AND(C47="",D47=""),"",C47-D47)</f>
        <v/>
      </c>
      <c r="F47" s="9"/>
    </row>
    <row r="48" customFormat="false" ht="15" hidden="false" customHeight="false" outlineLevel="0" collapsed="false">
      <c r="A48" s="9"/>
      <c r="B48" s="9"/>
      <c r="C48" s="14"/>
      <c r="D48" s="14"/>
      <c r="E48" s="16" t="str">
        <f aca="false">IF(AND(C48="",D48=""),"",C48-D48)</f>
        <v/>
      </c>
      <c r="F48" s="9"/>
    </row>
    <row r="49" customFormat="false" ht="15" hidden="false" customHeight="false" outlineLevel="0" collapsed="false">
      <c r="A49" s="9"/>
      <c r="B49" s="9"/>
      <c r="C49" s="14"/>
      <c r="D49" s="14"/>
      <c r="E49" s="16" t="str">
        <f aca="false">IF(AND(C49="",D49=""),"",C49-D49)</f>
        <v/>
      </c>
      <c r="F49" s="9"/>
    </row>
    <row r="50" customFormat="false" ht="15" hidden="false" customHeight="false" outlineLevel="0" collapsed="false">
      <c r="A50" s="9"/>
      <c r="B50" s="9"/>
      <c r="C50" s="14"/>
      <c r="D50" s="14"/>
      <c r="E50" s="16" t="str">
        <f aca="false">IF(AND(C50="",D50=""),"",C50-D50)</f>
        <v/>
      </c>
      <c r="F50" s="9"/>
    </row>
    <row r="51" customFormat="false" ht="15" hidden="false" customHeight="false" outlineLevel="0" collapsed="false">
      <c r="A51" s="9"/>
      <c r="B51" s="9"/>
      <c r="C51" s="14"/>
      <c r="D51" s="14"/>
      <c r="E51" s="16" t="str">
        <f aca="false">IF(AND(C51="",D51=""),"",C51-D51)</f>
        <v/>
      </c>
      <c r="F51" s="9"/>
    </row>
    <row r="52" customFormat="false" ht="15" hidden="false" customHeight="false" outlineLevel="0" collapsed="false">
      <c r="A52" s="9"/>
      <c r="B52" s="9"/>
      <c r="C52" s="14"/>
      <c r="D52" s="14"/>
      <c r="E52" s="16" t="str">
        <f aca="false">IF(AND(C52="",D52=""),"",C52-D52)</f>
        <v/>
      </c>
      <c r="F52" s="9"/>
    </row>
    <row r="53" customFormat="false" ht="15" hidden="false" customHeight="false" outlineLevel="0" collapsed="false">
      <c r="A53" s="9"/>
      <c r="B53" s="9"/>
      <c r="C53" s="14"/>
      <c r="D53" s="14"/>
      <c r="E53" s="16" t="str">
        <f aca="false">IF(AND(C53="",D53=""),"",C53-D53)</f>
        <v/>
      </c>
      <c r="F53" s="9"/>
    </row>
    <row r="54" customFormat="false" ht="15" hidden="false" customHeight="false" outlineLevel="0" collapsed="false">
      <c r="A54" s="9"/>
      <c r="B54" s="9"/>
      <c r="C54" s="14"/>
      <c r="D54" s="14"/>
      <c r="E54" s="16" t="str">
        <f aca="false">IF(AND(C54="",D54=""),"",C54-D54)</f>
        <v/>
      </c>
      <c r="F54" s="9"/>
    </row>
    <row r="55" customFormat="false" ht="15" hidden="false" customHeight="false" outlineLevel="0" collapsed="false">
      <c r="A55" s="9"/>
      <c r="B55" s="9"/>
      <c r="C55" s="14"/>
      <c r="D55" s="14"/>
      <c r="E55" s="16" t="str">
        <f aca="false">IF(AND(C55="",D55=""),"",C55-D55)</f>
        <v/>
      </c>
      <c r="F55" s="9"/>
    </row>
    <row r="56" customFormat="false" ht="15" hidden="false" customHeight="false" outlineLevel="0" collapsed="false">
      <c r="A56" s="9"/>
      <c r="B56" s="9"/>
      <c r="C56" s="14"/>
      <c r="D56" s="14"/>
      <c r="E56" s="16" t="str">
        <f aca="false">IF(AND(C56="",D56=""),"",C56-D56)</f>
        <v/>
      </c>
      <c r="F56" s="9"/>
    </row>
    <row r="57" customFormat="false" ht="15" hidden="false" customHeight="false" outlineLevel="0" collapsed="false">
      <c r="A57" s="9"/>
      <c r="B57" s="9"/>
      <c r="C57" s="14"/>
      <c r="D57" s="14"/>
      <c r="E57" s="16" t="str">
        <f aca="false">IF(AND(C57="",D57=""),"",C57-D57)</f>
        <v/>
      </c>
      <c r="F57" s="9"/>
    </row>
    <row r="58" customFormat="false" ht="15" hidden="false" customHeight="false" outlineLevel="0" collapsed="false">
      <c r="A58" s="9"/>
      <c r="B58" s="9"/>
      <c r="C58" s="14"/>
      <c r="D58" s="14"/>
      <c r="E58" s="16" t="str">
        <f aca="false">IF(AND(C58="",D58=""),"",C58-D58)</f>
        <v/>
      </c>
      <c r="F58" s="9"/>
    </row>
    <row r="59" customFormat="false" ht="15" hidden="false" customHeight="false" outlineLevel="0" collapsed="false">
      <c r="A59" s="9"/>
      <c r="B59" s="9"/>
      <c r="C59" s="14"/>
      <c r="D59" s="14"/>
      <c r="E59" s="16" t="str">
        <f aca="false">IF(AND(C59="",D59=""),"",C59-D59)</f>
        <v/>
      </c>
      <c r="F59" s="9"/>
    </row>
    <row r="60" customFormat="false" ht="15" hidden="false" customHeight="false" outlineLevel="0" collapsed="false">
      <c r="A60" s="9"/>
      <c r="B60" s="9"/>
      <c r="C60" s="14"/>
      <c r="D60" s="14"/>
      <c r="E60" s="16" t="str">
        <f aca="false">IF(AND(C60="",D60=""),"",C60-D60)</f>
        <v/>
      </c>
      <c r="F60" s="9"/>
    </row>
    <row r="61" customFormat="false" ht="15" hidden="false" customHeight="false" outlineLevel="0" collapsed="false">
      <c r="A61" s="9"/>
      <c r="B61" s="9"/>
      <c r="C61" s="14"/>
      <c r="D61" s="14"/>
      <c r="E61" s="16" t="str">
        <f aca="false">IF(AND(C61="",D61=""),"",C61-D61)</f>
        <v/>
      </c>
      <c r="F61" s="9"/>
    </row>
    <row r="62" customFormat="false" ht="15" hidden="false" customHeight="false" outlineLevel="0" collapsed="false">
      <c r="A62" s="9"/>
      <c r="B62" s="9"/>
      <c r="C62" s="14"/>
      <c r="D62" s="14"/>
      <c r="E62" s="16" t="str">
        <f aca="false">IF(AND(C62="",D62=""),"",C62-D62)</f>
        <v/>
      </c>
      <c r="F62" s="9"/>
    </row>
    <row r="63" customFormat="false" ht="15" hidden="false" customHeight="false" outlineLevel="0" collapsed="false">
      <c r="A63" s="9"/>
      <c r="B63" s="9"/>
      <c r="C63" s="14"/>
      <c r="D63" s="14"/>
      <c r="E63" s="16" t="str">
        <f aca="false">IF(AND(C63="",D63=""),"",C63-D63)</f>
        <v/>
      </c>
      <c r="F63" s="9"/>
    </row>
    <row r="64" customFormat="false" ht="15" hidden="false" customHeight="false" outlineLevel="0" collapsed="false">
      <c r="A64" s="9"/>
      <c r="B64" s="9"/>
      <c r="C64" s="14"/>
      <c r="D64" s="14"/>
      <c r="E64" s="16" t="str">
        <f aca="false">IF(AND(C64="",D64=""),"",C64-D64)</f>
        <v/>
      </c>
      <c r="F64" s="9"/>
    </row>
    <row r="65" customFormat="false" ht="15" hidden="false" customHeight="false" outlineLevel="0" collapsed="false">
      <c r="A65" s="9"/>
      <c r="B65" s="9"/>
      <c r="C65" s="14"/>
      <c r="D65" s="14"/>
      <c r="E65" s="16" t="str">
        <f aca="false">IF(AND(C65="",D65=""),"",C65-D65)</f>
        <v/>
      </c>
      <c r="F65" s="9"/>
    </row>
    <row r="67" customFormat="false" ht="15" hidden="false" customHeight="false" outlineLevel="0" collapsed="false">
      <c r="A67" s="5" t="s">
        <v>89</v>
      </c>
    </row>
  </sheetData>
  <dataValidations count="1">
    <dataValidation allowBlank="true" errorStyle="stop" operator="between" showDropDown="false" showErrorMessage="false" showInputMessage="false" sqref="A6:A65" type="list">
      <formula1>'Project Tracker'!$G$6:$G$25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2.0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91</v>
      </c>
    </row>
    <row r="5" customFormat="false" ht="27.75" hidden="false" customHeight="true" outlineLevel="0" collapsed="false">
      <c r="A5" s="7" t="s">
        <v>57</v>
      </c>
      <c r="B5" s="7" t="s">
        <v>92</v>
      </c>
      <c r="C5" s="7" t="s">
        <v>93</v>
      </c>
      <c r="D5" s="7" t="s">
        <v>94</v>
      </c>
      <c r="E5" s="7" t="s">
        <v>95</v>
      </c>
      <c r="F5" s="7" t="s">
        <v>96</v>
      </c>
    </row>
    <row r="6" customFormat="false" ht="15" hidden="false" customHeight="false" outlineLevel="0" collapsed="false">
      <c r="A6" s="8" t="s">
        <v>63</v>
      </c>
      <c r="B6" s="8" t="s">
        <v>97</v>
      </c>
      <c r="C6" s="8" t="s">
        <v>98</v>
      </c>
      <c r="D6" s="8" t="s">
        <v>99</v>
      </c>
      <c r="E6" s="8" t="s">
        <v>100</v>
      </c>
      <c r="F6" s="8" t="s">
        <v>101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7" customFormat="false" ht="15" hidden="false" customHeight="false" outlineLevel="0" collapsed="false">
      <c r="A47" s="5" t="s">
        <v>79</v>
      </c>
    </row>
  </sheetData>
  <dataValidations count="1">
    <dataValidation allowBlank="true" errorStyle="stop" operator="between" showDropDown="false" showErrorMessage="false" showInputMessage="false" sqref="A6:A45" type="list">
      <formula1>'Project Tracker'!$G$6:$G$25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30"/>
  </cols>
  <sheetData>
    <row r="1" customFormat="false" ht="22.0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103</v>
      </c>
    </row>
    <row r="5" customFormat="false" ht="27.75" hidden="false" customHeight="true" outlineLevel="0" collapsed="false">
      <c r="A5" s="7" t="s">
        <v>57</v>
      </c>
      <c r="B5" s="7" t="s">
        <v>104</v>
      </c>
      <c r="C5" s="7" t="s">
        <v>105</v>
      </c>
      <c r="D5" s="7" t="s">
        <v>106</v>
      </c>
      <c r="E5" s="7" t="s">
        <v>107</v>
      </c>
    </row>
    <row r="6" customFormat="false" ht="15" hidden="false" customHeight="false" outlineLevel="0" collapsed="false">
      <c r="A6" s="8" t="s">
        <v>63</v>
      </c>
      <c r="B6" s="8" t="s">
        <v>51</v>
      </c>
      <c r="C6" s="8" t="s">
        <v>108</v>
      </c>
      <c r="D6" s="8" t="s">
        <v>109</v>
      </c>
      <c r="E6" s="8" t="s">
        <v>110</v>
      </c>
    </row>
    <row r="7" customFormat="false" ht="15" hidden="false" customHeight="false" outlineLevel="0" collapsed="false">
      <c r="A7" s="9"/>
      <c r="B7" s="9"/>
      <c r="C7" s="9"/>
      <c r="D7" s="9"/>
      <c r="E7" s="9"/>
    </row>
    <row r="8" customFormat="false" ht="15" hidden="false" customHeight="false" outlineLevel="0" collapsed="false">
      <c r="A8" s="9"/>
      <c r="B8" s="9"/>
      <c r="C8" s="9"/>
      <c r="D8" s="9"/>
      <c r="E8" s="9"/>
    </row>
    <row r="9" customFormat="false" ht="15" hidden="false" customHeight="false" outlineLevel="0" collapsed="false">
      <c r="A9" s="9"/>
      <c r="B9" s="9"/>
      <c r="C9" s="9"/>
      <c r="D9" s="9"/>
      <c r="E9" s="9"/>
    </row>
    <row r="10" customFormat="false" ht="15" hidden="false" customHeight="false" outlineLevel="0" collapsed="false">
      <c r="A10" s="9"/>
      <c r="B10" s="9"/>
      <c r="C10" s="9"/>
      <c r="D10" s="9"/>
      <c r="E10" s="9"/>
    </row>
    <row r="11" customFormat="false" ht="15" hidden="false" customHeight="false" outlineLevel="0" collapsed="false">
      <c r="A11" s="9"/>
      <c r="B11" s="9"/>
      <c r="C11" s="9"/>
      <c r="D11" s="9"/>
      <c r="E11" s="9"/>
    </row>
    <row r="12" customFormat="false" ht="15" hidden="false" customHeight="false" outlineLevel="0" collapsed="false">
      <c r="A12" s="9"/>
      <c r="B12" s="9"/>
      <c r="C12" s="9"/>
      <c r="D12" s="9"/>
      <c r="E12" s="9"/>
    </row>
    <row r="13" customFormat="false" ht="15" hidden="false" customHeight="false" outlineLevel="0" collapsed="false">
      <c r="A13" s="9"/>
      <c r="B13" s="9"/>
      <c r="C13" s="9"/>
      <c r="D13" s="9"/>
      <c r="E13" s="9"/>
    </row>
    <row r="14" customFormat="false" ht="15" hidden="false" customHeight="false" outlineLevel="0" collapsed="false">
      <c r="A14" s="9"/>
      <c r="B14" s="9"/>
      <c r="C14" s="9"/>
      <c r="D14" s="9"/>
      <c r="E14" s="9"/>
    </row>
    <row r="15" customFormat="false" ht="15" hidden="false" customHeight="false" outlineLevel="0" collapsed="false">
      <c r="A15" s="9"/>
      <c r="B15" s="9"/>
      <c r="C15" s="9"/>
      <c r="D15" s="9"/>
      <c r="E15" s="9"/>
    </row>
    <row r="16" customFormat="false" ht="15" hidden="false" customHeight="false" outlineLevel="0" collapsed="false">
      <c r="A16" s="9"/>
      <c r="B16" s="9"/>
      <c r="C16" s="9"/>
      <c r="D16" s="9"/>
      <c r="E16" s="9"/>
    </row>
    <row r="17" customFormat="false" ht="15" hidden="false" customHeight="false" outlineLevel="0" collapsed="false">
      <c r="A17" s="9"/>
      <c r="B17" s="9"/>
      <c r="C17" s="9"/>
      <c r="D17" s="9"/>
      <c r="E17" s="9"/>
    </row>
    <row r="18" customFormat="false" ht="15" hidden="false" customHeight="false" outlineLevel="0" collapsed="false">
      <c r="A18" s="9"/>
      <c r="B18" s="9"/>
      <c r="C18" s="9"/>
      <c r="D18" s="9"/>
      <c r="E18" s="9"/>
    </row>
    <row r="19" customFormat="false" ht="15" hidden="false" customHeight="false" outlineLevel="0" collapsed="false">
      <c r="A19" s="9"/>
      <c r="B19" s="9"/>
      <c r="C19" s="9"/>
      <c r="D19" s="9"/>
      <c r="E19" s="9"/>
    </row>
    <row r="20" customFormat="false" ht="15" hidden="false" customHeight="false" outlineLevel="0" collapsed="false">
      <c r="A20" s="9"/>
      <c r="B20" s="9"/>
      <c r="C20" s="9"/>
      <c r="D20" s="9"/>
      <c r="E20" s="9"/>
    </row>
    <row r="21" customFormat="false" ht="15" hidden="false" customHeight="false" outlineLevel="0" collapsed="false">
      <c r="A21" s="9"/>
      <c r="B21" s="9"/>
      <c r="C21" s="9"/>
      <c r="D21" s="9"/>
      <c r="E21" s="9"/>
    </row>
    <row r="22" customFormat="false" ht="15" hidden="false" customHeight="false" outlineLevel="0" collapsed="false">
      <c r="A22" s="9"/>
      <c r="B22" s="9"/>
      <c r="C22" s="9"/>
      <c r="D22" s="9"/>
      <c r="E22" s="9"/>
    </row>
    <row r="23" customFormat="false" ht="15" hidden="false" customHeight="false" outlineLevel="0" collapsed="false">
      <c r="A23" s="9"/>
      <c r="B23" s="9"/>
      <c r="C23" s="9"/>
      <c r="D23" s="9"/>
      <c r="E23" s="9"/>
    </row>
    <row r="24" customFormat="false" ht="15" hidden="false" customHeight="false" outlineLevel="0" collapsed="false">
      <c r="A24" s="9"/>
      <c r="B24" s="9"/>
      <c r="C24" s="9"/>
      <c r="D24" s="9"/>
      <c r="E24" s="9"/>
    </row>
    <row r="25" customFormat="false" ht="15" hidden="false" customHeight="false" outlineLevel="0" collapsed="false">
      <c r="A25" s="9"/>
      <c r="B25" s="9"/>
      <c r="C25" s="9"/>
      <c r="D25" s="9"/>
      <c r="E25" s="9"/>
    </row>
    <row r="26" customFormat="false" ht="15" hidden="false" customHeight="false" outlineLevel="0" collapsed="false">
      <c r="A26" s="9"/>
      <c r="B26" s="9"/>
      <c r="C26" s="9"/>
      <c r="D26" s="9"/>
      <c r="E26" s="9"/>
    </row>
    <row r="27" customFormat="false" ht="15" hidden="false" customHeight="false" outlineLevel="0" collapsed="false">
      <c r="A27" s="9"/>
      <c r="B27" s="9"/>
      <c r="C27" s="9"/>
      <c r="D27" s="9"/>
      <c r="E27" s="9"/>
    </row>
    <row r="28" customFormat="false" ht="15" hidden="false" customHeight="false" outlineLevel="0" collapsed="false">
      <c r="A28" s="9"/>
      <c r="B28" s="9"/>
      <c r="C28" s="9"/>
      <c r="D28" s="9"/>
      <c r="E28" s="9"/>
    </row>
    <row r="29" customFormat="false" ht="15" hidden="false" customHeight="false" outlineLevel="0" collapsed="false">
      <c r="A29" s="9"/>
      <c r="B29" s="9"/>
      <c r="C29" s="9"/>
      <c r="D29" s="9"/>
      <c r="E29" s="9"/>
    </row>
    <row r="30" customFormat="false" ht="15" hidden="false" customHeight="false" outlineLevel="0" collapsed="false">
      <c r="A30" s="9"/>
      <c r="B30" s="9"/>
      <c r="C30" s="9"/>
      <c r="D30" s="9"/>
      <c r="E30" s="9"/>
    </row>
    <row r="31" customFormat="false" ht="15" hidden="false" customHeight="false" outlineLevel="0" collapsed="false">
      <c r="A31" s="9"/>
      <c r="B31" s="9"/>
      <c r="C31" s="9"/>
      <c r="D31" s="9"/>
      <c r="E31" s="9"/>
    </row>
    <row r="32" customFormat="false" ht="15" hidden="false" customHeight="false" outlineLevel="0" collapsed="false">
      <c r="A32" s="9"/>
      <c r="B32" s="9"/>
      <c r="C32" s="9"/>
      <c r="D32" s="9"/>
      <c r="E32" s="9"/>
    </row>
    <row r="33" customFormat="false" ht="15" hidden="false" customHeight="false" outlineLevel="0" collapsed="false">
      <c r="A33" s="9"/>
      <c r="B33" s="9"/>
      <c r="C33" s="9"/>
      <c r="D33" s="9"/>
      <c r="E33" s="9"/>
    </row>
    <row r="34" customFormat="false" ht="15" hidden="false" customHeight="false" outlineLevel="0" collapsed="false">
      <c r="A34" s="9"/>
      <c r="B34" s="9"/>
      <c r="C34" s="9"/>
      <c r="D34" s="9"/>
      <c r="E34" s="9"/>
    </row>
    <row r="35" customFormat="false" ht="15" hidden="false" customHeight="false" outlineLevel="0" collapsed="false">
      <c r="A35" s="9"/>
      <c r="B35" s="9"/>
      <c r="C35" s="9"/>
      <c r="D35" s="9"/>
      <c r="E35" s="9"/>
    </row>
    <row r="36" customFormat="false" ht="15" hidden="false" customHeight="false" outlineLevel="0" collapsed="false">
      <c r="A36" s="9"/>
      <c r="B36" s="9"/>
      <c r="C36" s="9"/>
      <c r="D36" s="9"/>
      <c r="E36" s="9"/>
    </row>
    <row r="37" customFormat="false" ht="15" hidden="false" customHeight="false" outlineLevel="0" collapsed="false">
      <c r="A37" s="9"/>
      <c r="B37" s="9"/>
      <c r="C37" s="9"/>
      <c r="D37" s="9"/>
      <c r="E37" s="9"/>
    </row>
    <row r="38" customFormat="false" ht="15" hidden="false" customHeight="false" outlineLevel="0" collapsed="false">
      <c r="A38" s="9"/>
      <c r="B38" s="9"/>
      <c r="C38" s="9"/>
      <c r="D38" s="9"/>
      <c r="E38" s="9"/>
    </row>
    <row r="39" customFormat="false" ht="15" hidden="false" customHeight="false" outlineLevel="0" collapsed="false">
      <c r="A39" s="9"/>
      <c r="B39" s="9"/>
      <c r="C39" s="9"/>
      <c r="D39" s="9"/>
      <c r="E39" s="9"/>
    </row>
    <row r="40" customFormat="false" ht="15" hidden="false" customHeight="false" outlineLevel="0" collapsed="false">
      <c r="A40" s="9"/>
      <c r="B40" s="9"/>
      <c r="C40" s="9"/>
      <c r="D40" s="9"/>
      <c r="E40" s="9"/>
    </row>
    <row r="41" customFormat="false" ht="15" hidden="false" customHeight="false" outlineLevel="0" collapsed="false">
      <c r="A41" s="9"/>
      <c r="B41" s="9"/>
      <c r="C41" s="9"/>
      <c r="D41" s="9"/>
      <c r="E41" s="9"/>
    </row>
    <row r="42" customFormat="false" ht="15" hidden="false" customHeight="false" outlineLevel="0" collapsed="false">
      <c r="A42" s="9"/>
      <c r="B42" s="9"/>
      <c r="C42" s="9"/>
      <c r="D42" s="9"/>
      <c r="E42" s="9"/>
    </row>
    <row r="43" customFormat="false" ht="15" hidden="false" customHeight="false" outlineLevel="0" collapsed="false">
      <c r="A43" s="9"/>
      <c r="B43" s="9"/>
      <c r="C43" s="9"/>
      <c r="D43" s="9"/>
      <c r="E43" s="9"/>
    </row>
    <row r="44" customFormat="false" ht="15" hidden="false" customHeight="false" outlineLevel="0" collapsed="false">
      <c r="A44" s="9"/>
      <c r="B44" s="9"/>
      <c r="C44" s="9"/>
      <c r="D44" s="9"/>
      <c r="E44" s="9"/>
    </row>
    <row r="45" customFormat="false" ht="15" hidden="false" customHeight="false" outlineLevel="0" collapsed="false">
      <c r="A45" s="9"/>
      <c r="B45" s="9"/>
      <c r="C45" s="9"/>
      <c r="D45" s="9"/>
      <c r="E45" s="9"/>
    </row>
    <row r="47" customFormat="false" ht="15" hidden="false" customHeight="false" outlineLevel="0" collapsed="false">
      <c r="A47" s="5" t="s">
        <v>79</v>
      </c>
    </row>
  </sheetData>
  <dataValidations count="2">
    <dataValidation allowBlank="true" errorStyle="stop" operator="between" showDropDown="false" showErrorMessage="false" showInputMessage="false" sqref="A6:A45" type="list">
      <formula1>'Project Tracker'!$G$6:$G$25</formula1>
      <formula2>0</formula2>
    </dataValidation>
    <dataValidation allowBlank="true" errorStyle="stop" operator="between" showDropDown="false" showErrorMessage="false" showInputMessage="false" sqref="C6:C45" type="list">
      <formula1>"Before,During,After"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2.0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112</v>
      </c>
    </row>
    <row r="5" customFormat="false" ht="27.75" hidden="false" customHeight="true" outlineLevel="0" collapsed="false">
      <c r="A5" s="7" t="s">
        <v>42</v>
      </c>
      <c r="B5" s="7" t="s">
        <v>113</v>
      </c>
      <c r="C5" s="7" t="s">
        <v>114</v>
      </c>
      <c r="D5" s="7" t="s">
        <v>115</v>
      </c>
      <c r="E5" s="7" t="s">
        <v>116</v>
      </c>
      <c r="F5" s="7" t="s">
        <v>117</v>
      </c>
    </row>
    <row r="6" customFormat="false" ht="15" hidden="false" customHeight="false" outlineLevel="0" collapsed="false">
      <c r="A6" s="8" t="str">
        <f aca="false">'Portfolio Summary'!A6</f>
        <v>Maple St Duplex</v>
      </c>
      <c r="B6" s="8" t="s">
        <v>118</v>
      </c>
      <c r="C6" s="8" t="s">
        <v>119</v>
      </c>
      <c r="D6" s="8" t="s">
        <v>120</v>
      </c>
      <c r="E6" s="8" t="s">
        <v>121</v>
      </c>
      <c r="F6" s="8" t="s">
        <v>122</v>
      </c>
    </row>
    <row r="7" customFormat="false" ht="15" hidden="false" customHeight="false" outlineLevel="0" collapsed="false">
      <c r="A7" s="9" t="str">
        <f aca="false">'Portfolio Summary'!A6</f>
        <v>Maple St Duplex</v>
      </c>
      <c r="B7" s="9" t="s">
        <v>123</v>
      </c>
      <c r="C7" s="9"/>
      <c r="D7" s="9"/>
      <c r="E7" s="9"/>
      <c r="F7" s="9"/>
    </row>
    <row r="8" customFormat="false" ht="15" hidden="false" customHeight="false" outlineLevel="0" collapsed="false">
      <c r="A8" s="9" t="str">
        <f aca="false">'Portfolio Summary'!A6</f>
        <v>Maple St Duplex</v>
      </c>
      <c r="B8" s="9" t="s">
        <v>124</v>
      </c>
      <c r="C8" s="9"/>
      <c r="D8" s="9"/>
      <c r="E8" s="9"/>
      <c r="F8" s="9"/>
    </row>
    <row r="9" customFormat="false" ht="15" hidden="false" customHeight="false" outlineLevel="0" collapsed="false">
      <c r="A9" s="9" t="str">
        <f aca="false">'Portfolio Summary'!A6</f>
        <v>Maple St Duplex</v>
      </c>
      <c r="B9" s="9" t="s">
        <v>19</v>
      </c>
      <c r="C9" s="9"/>
      <c r="D9" s="9"/>
      <c r="E9" s="9"/>
      <c r="F9" s="9"/>
    </row>
    <row r="10" customFormat="false" ht="15" hidden="false" customHeight="false" outlineLevel="0" collapsed="false">
      <c r="A10" s="9" t="str">
        <f aca="false">'Portfolio Summary'!A6</f>
        <v>Maple St Duplex</v>
      </c>
      <c r="B10" s="9" t="s">
        <v>125</v>
      </c>
      <c r="C10" s="9"/>
      <c r="D10" s="9"/>
      <c r="E10" s="9"/>
      <c r="F10" s="9"/>
    </row>
    <row r="11" customFormat="false" ht="15" hidden="false" customHeight="false" outlineLevel="0" collapsed="false">
      <c r="A11" s="9" t="str">
        <f aca="false">'Portfolio Summary'!A6</f>
        <v>Maple St Duplex</v>
      </c>
      <c r="B11" s="9" t="s">
        <v>126</v>
      </c>
      <c r="C11" s="9"/>
      <c r="D11" s="9"/>
      <c r="E11" s="9"/>
      <c r="F11" s="9"/>
    </row>
    <row r="12" customFormat="false" ht="15" hidden="false" customHeight="false" outlineLevel="0" collapsed="false">
      <c r="A12" s="9" t="str">
        <f aca="false">'Portfolio Summary'!A6</f>
        <v>Maple St Duplex</v>
      </c>
      <c r="B12" s="9" t="s">
        <v>127</v>
      </c>
      <c r="C12" s="9"/>
      <c r="D12" s="9"/>
      <c r="E12" s="9"/>
      <c r="F12" s="9"/>
    </row>
    <row r="13" customFormat="false" ht="15" hidden="false" customHeight="false" outlineLevel="0" collapsed="false">
      <c r="A13" s="9" t="str">
        <f aca="false">'Portfolio Summary'!A6</f>
        <v>Maple St Duplex</v>
      </c>
      <c r="B13" s="9" t="s">
        <v>128</v>
      </c>
      <c r="C13" s="9"/>
      <c r="D13" s="9"/>
      <c r="E13" s="9"/>
      <c r="F13" s="9"/>
    </row>
    <row r="14" customFormat="false" ht="15" hidden="false" customHeight="false" outlineLevel="0" collapsed="false">
      <c r="A14" s="9" t="str">
        <f aca="false">'Portfolio Summary'!A6</f>
        <v>Maple St Duplex</v>
      </c>
      <c r="B14" s="9" t="s">
        <v>129</v>
      </c>
      <c r="C14" s="9"/>
      <c r="D14" s="9"/>
      <c r="E14" s="9"/>
      <c r="F14" s="9"/>
    </row>
    <row r="15" customFormat="false" ht="15" hidden="false" customHeight="false" outlineLevel="0" collapsed="false">
      <c r="A15" s="9" t="str">
        <f aca="false">'Portfolio Summary'!A6</f>
        <v>Maple St Duplex</v>
      </c>
      <c r="B15" s="9" t="s">
        <v>130</v>
      </c>
      <c r="C15" s="9"/>
      <c r="D15" s="9"/>
      <c r="E15" s="9"/>
      <c r="F15" s="9"/>
    </row>
    <row r="16" customFormat="false" ht="15" hidden="false" customHeight="false" outlineLevel="0" collapsed="false">
      <c r="A16" s="9" t="str">
        <f aca="false">'Portfolio Summary'!A6</f>
        <v>Maple St Duplex</v>
      </c>
      <c r="B16" s="9" t="s">
        <v>131</v>
      </c>
      <c r="C16" s="9"/>
      <c r="D16" s="9"/>
      <c r="E16" s="9"/>
      <c r="F16" s="9"/>
    </row>
    <row r="17" customFormat="false" ht="15" hidden="false" customHeight="false" outlineLevel="0" collapsed="false">
      <c r="A17" s="9" t="str">
        <f aca="false">'Portfolio Summary'!A6</f>
        <v>Maple St Duplex</v>
      </c>
      <c r="B17" s="9" t="s">
        <v>132</v>
      </c>
      <c r="C17" s="9"/>
      <c r="D17" s="9"/>
      <c r="E17" s="9"/>
      <c r="F17" s="9"/>
    </row>
    <row r="18" customFormat="false" ht="15" hidden="false" customHeight="false" outlineLevel="0" collapsed="false">
      <c r="A18" s="9" t="str">
        <f aca="false">'Portfolio Summary'!A7</f>
        <v>Property 2</v>
      </c>
      <c r="B18" s="9" t="s">
        <v>118</v>
      </c>
      <c r="C18" s="9"/>
      <c r="D18" s="9"/>
      <c r="E18" s="9"/>
      <c r="F18" s="9"/>
    </row>
    <row r="19" customFormat="false" ht="15" hidden="false" customHeight="false" outlineLevel="0" collapsed="false">
      <c r="A19" s="9" t="str">
        <f aca="false">'Portfolio Summary'!A7</f>
        <v>Property 2</v>
      </c>
      <c r="B19" s="9" t="s">
        <v>123</v>
      </c>
      <c r="C19" s="9"/>
      <c r="D19" s="9"/>
      <c r="E19" s="9"/>
      <c r="F19" s="9"/>
    </row>
    <row r="20" customFormat="false" ht="15" hidden="false" customHeight="false" outlineLevel="0" collapsed="false">
      <c r="A20" s="9" t="str">
        <f aca="false">'Portfolio Summary'!A7</f>
        <v>Property 2</v>
      </c>
      <c r="B20" s="9" t="s">
        <v>124</v>
      </c>
      <c r="C20" s="9"/>
      <c r="D20" s="9"/>
      <c r="E20" s="9"/>
      <c r="F20" s="9"/>
    </row>
    <row r="21" customFormat="false" ht="15" hidden="false" customHeight="false" outlineLevel="0" collapsed="false">
      <c r="A21" s="9" t="str">
        <f aca="false">'Portfolio Summary'!A7</f>
        <v>Property 2</v>
      </c>
      <c r="B21" s="9" t="s">
        <v>19</v>
      </c>
      <c r="C21" s="9"/>
      <c r="D21" s="9"/>
      <c r="E21" s="9"/>
      <c r="F21" s="9"/>
    </row>
    <row r="22" customFormat="false" ht="15" hidden="false" customHeight="false" outlineLevel="0" collapsed="false">
      <c r="A22" s="9" t="str">
        <f aca="false">'Portfolio Summary'!A7</f>
        <v>Property 2</v>
      </c>
      <c r="B22" s="9" t="s">
        <v>125</v>
      </c>
      <c r="C22" s="9"/>
      <c r="D22" s="9"/>
      <c r="E22" s="9"/>
      <c r="F22" s="9"/>
    </row>
    <row r="23" customFormat="false" ht="15" hidden="false" customHeight="false" outlineLevel="0" collapsed="false">
      <c r="A23" s="9" t="str">
        <f aca="false">'Portfolio Summary'!A7</f>
        <v>Property 2</v>
      </c>
      <c r="B23" s="9" t="s">
        <v>126</v>
      </c>
      <c r="C23" s="9"/>
      <c r="D23" s="9"/>
      <c r="E23" s="9"/>
      <c r="F23" s="9"/>
    </row>
    <row r="24" customFormat="false" ht="15" hidden="false" customHeight="false" outlineLevel="0" collapsed="false">
      <c r="A24" s="9" t="str">
        <f aca="false">'Portfolio Summary'!A7</f>
        <v>Property 2</v>
      </c>
      <c r="B24" s="9" t="s">
        <v>127</v>
      </c>
      <c r="C24" s="9"/>
      <c r="D24" s="9"/>
      <c r="E24" s="9"/>
      <c r="F24" s="9"/>
    </row>
    <row r="25" customFormat="false" ht="15" hidden="false" customHeight="false" outlineLevel="0" collapsed="false">
      <c r="A25" s="9" t="str">
        <f aca="false">'Portfolio Summary'!A7</f>
        <v>Property 2</v>
      </c>
      <c r="B25" s="9" t="s">
        <v>128</v>
      </c>
      <c r="C25" s="9"/>
      <c r="D25" s="9"/>
      <c r="E25" s="9"/>
      <c r="F25" s="9"/>
    </row>
    <row r="26" customFormat="false" ht="15" hidden="false" customHeight="false" outlineLevel="0" collapsed="false">
      <c r="A26" s="9" t="str">
        <f aca="false">'Portfolio Summary'!A7</f>
        <v>Property 2</v>
      </c>
      <c r="B26" s="9" t="s">
        <v>129</v>
      </c>
      <c r="C26" s="9"/>
      <c r="D26" s="9"/>
      <c r="E26" s="9"/>
      <c r="F26" s="9"/>
    </row>
    <row r="27" customFormat="false" ht="15" hidden="false" customHeight="false" outlineLevel="0" collapsed="false">
      <c r="A27" s="9" t="str">
        <f aca="false">'Portfolio Summary'!A7</f>
        <v>Property 2</v>
      </c>
      <c r="B27" s="9" t="s">
        <v>130</v>
      </c>
      <c r="C27" s="9"/>
      <c r="D27" s="9"/>
      <c r="E27" s="9"/>
      <c r="F27" s="9"/>
    </row>
    <row r="28" customFormat="false" ht="15" hidden="false" customHeight="false" outlineLevel="0" collapsed="false">
      <c r="A28" s="9" t="str">
        <f aca="false">'Portfolio Summary'!A7</f>
        <v>Property 2</v>
      </c>
      <c r="B28" s="9" t="s">
        <v>131</v>
      </c>
      <c r="C28" s="9"/>
      <c r="D28" s="9"/>
      <c r="E28" s="9"/>
      <c r="F28" s="9"/>
    </row>
    <row r="29" customFormat="false" ht="15" hidden="false" customHeight="false" outlineLevel="0" collapsed="false">
      <c r="A29" s="9" t="str">
        <f aca="false">'Portfolio Summary'!A7</f>
        <v>Property 2</v>
      </c>
      <c r="B29" s="9" t="s">
        <v>132</v>
      </c>
      <c r="C29" s="9"/>
      <c r="D29" s="9"/>
      <c r="E29" s="9"/>
      <c r="F29" s="9"/>
    </row>
    <row r="30" customFormat="false" ht="15" hidden="false" customHeight="false" outlineLevel="0" collapsed="false">
      <c r="A30" s="9" t="str">
        <f aca="false">'Portfolio Summary'!A8</f>
        <v>Property 3</v>
      </c>
      <c r="B30" s="9" t="s">
        <v>118</v>
      </c>
      <c r="C30" s="9"/>
      <c r="D30" s="9"/>
      <c r="E30" s="9"/>
      <c r="F30" s="9"/>
    </row>
    <row r="31" customFormat="false" ht="15" hidden="false" customHeight="false" outlineLevel="0" collapsed="false">
      <c r="A31" s="9" t="str">
        <f aca="false">'Portfolio Summary'!A8</f>
        <v>Property 3</v>
      </c>
      <c r="B31" s="9" t="s">
        <v>123</v>
      </c>
      <c r="C31" s="9"/>
      <c r="D31" s="9"/>
      <c r="E31" s="9"/>
      <c r="F31" s="9"/>
    </row>
    <row r="32" customFormat="false" ht="15" hidden="false" customHeight="false" outlineLevel="0" collapsed="false">
      <c r="A32" s="9" t="str">
        <f aca="false">'Portfolio Summary'!A8</f>
        <v>Property 3</v>
      </c>
      <c r="B32" s="9" t="s">
        <v>124</v>
      </c>
      <c r="C32" s="9"/>
      <c r="D32" s="9"/>
      <c r="E32" s="9"/>
      <c r="F32" s="9"/>
    </row>
    <row r="33" customFormat="false" ht="15" hidden="false" customHeight="false" outlineLevel="0" collapsed="false">
      <c r="A33" s="9" t="str">
        <f aca="false">'Portfolio Summary'!A8</f>
        <v>Property 3</v>
      </c>
      <c r="B33" s="9" t="s">
        <v>19</v>
      </c>
      <c r="C33" s="9"/>
      <c r="D33" s="9"/>
      <c r="E33" s="9"/>
      <c r="F33" s="9"/>
    </row>
    <row r="34" customFormat="false" ht="15" hidden="false" customHeight="false" outlineLevel="0" collapsed="false">
      <c r="A34" s="9" t="str">
        <f aca="false">'Portfolio Summary'!A8</f>
        <v>Property 3</v>
      </c>
      <c r="B34" s="9" t="s">
        <v>125</v>
      </c>
      <c r="C34" s="9"/>
      <c r="D34" s="9"/>
      <c r="E34" s="9"/>
      <c r="F34" s="9"/>
    </row>
    <row r="35" customFormat="false" ht="15" hidden="false" customHeight="false" outlineLevel="0" collapsed="false">
      <c r="A35" s="9" t="str">
        <f aca="false">'Portfolio Summary'!A8</f>
        <v>Property 3</v>
      </c>
      <c r="B35" s="9" t="s">
        <v>126</v>
      </c>
      <c r="C35" s="9"/>
      <c r="D35" s="9"/>
      <c r="E35" s="9"/>
      <c r="F35" s="9"/>
    </row>
    <row r="36" customFormat="false" ht="15" hidden="false" customHeight="false" outlineLevel="0" collapsed="false">
      <c r="A36" s="9" t="str">
        <f aca="false">'Portfolio Summary'!A8</f>
        <v>Property 3</v>
      </c>
      <c r="B36" s="9" t="s">
        <v>127</v>
      </c>
      <c r="C36" s="9"/>
      <c r="D36" s="9"/>
      <c r="E36" s="9"/>
      <c r="F36" s="9"/>
    </row>
    <row r="37" customFormat="false" ht="15" hidden="false" customHeight="false" outlineLevel="0" collapsed="false">
      <c r="A37" s="9" t="str">
        <f aca="false">'Portfolio Summary'!A8</f>
        <v>Property 3</v>
      </c>
      <c r="B37" s="9" t="s">
        <v>128</v>
      </c>
      <c r="C37" s="9"/>
      <c r="D37" s="9"/>
      <c r="E37" s="9"/>
      <c r="F37" s="9"/>
    </row>
    <row r="38" customFormat="false" ht="15" hidden="false" customHeight="false" outlineLevel="0" collapsed="false">
      <c r="A38" s="9" t="str">
        <f aca="false">'Portfolio Summary'!A8</f>
        <v>Property 3</v>
      </c>
      <c r="B38" s="9" t="s">
        <v>129</v>
      </c>
      <c r="C38" s="9"/>
      <c r="D38" s="9"/>
      <c r="E38" s="9"/>
      <c r="F38" s="9"/>
    </row>
    <row r="39" customFormat="false" ht="15" hidden="false" customHeight="false" outlineLevel="0" collapsed="false">
      <c r="A39" s="9" t="str">
        <f aca="false">'Portfolio Summary'!A8</f>
        <v>Property 3</v>
      </c>
      <c r="B39" s="9" t="s">
        <v>130</v>
      </c>
      <c r="C39" s="9"/>
      <c r="D39" s="9"/>
      <c r="E39" s="9"/>
      <c r="F39" s="9"/>
    </row>
    <row r="40" customFormat="false" ht="15" hidden="false" customHeight="false" outlineLevel="0" collapsed="false">
      <c r="A40" s="9" t="str">
        <f aca="false">'Portfolio Summary'!A8</f>
        <v>Property 3</v>
      </c>
      <c r="B40" s="9" t="s">
        <v>131</v>
      </c>
      <c r="C40" s="9"/>
      <c r="D40" s="9"/>
      <c r="E40" s="9"/>
      <c r="F40" s="9"/>
    </row>
    <row r="41" customFormat="false" ht="15" hidden="false" customHeight="false" outlineLevel="0" collapsed="false">
      <c r="A41" s="9" t="str">
        <f aca="false">'Portfolio Summary'!A8</f>
        <v>Property 3</v>
      </c>
      <c r="B41" s="9" t="s">
        <v>132</v>
      </c>
      <c r="C41" s="9"/>
      <c r="D41" s="9"/>
      <c r="E41" s="9"/>
      <c r="F41" s="9"/>
    </row>
    <row r="42" customFormat="false" ht="15" hidden="false" customHeight="false" outlineLevel="0" collapsed="false">
      <c r="A42" s="9" t="str">
        <f aca="false">'Portfolio Summary'!A9</f>
        <v>Property 4</v>
      </c>
      <c r="B42" s="9" t="s">
        <v>118</v>
      </c>
      <c r="C42" s="9"/>
      <c r="D42" s="9"/>
      <c r="E42" s="9"/>
      <c r="F42" s="9"/>
    </row>
    <row r="43" customFormat="false" ht="15" hidden="false" customHeight="false" outlineLevel="0" collapsed="false">
      <c r="A43" s="9" t="str">
        <f aca="false">'Portfolio Summary'!A9</f>
        <v>Property 4</v>
      </c>
      <c r="B43" s="9" t="s">
        <v>123</v>
      </c>
      <c r="C43" s="9"/>
      <c r="D43" s="9"/>
      <c r="E43" s="9"/>
      <c r="F43" s="9"/>
    </row>
    <row r="44" customFormat="false" ht="15" hidden="false" customHeight="false" outlineLevel="0" collapsed="false">
      <c r="A44" s="9" t="str">
        <f aca="false">'Portfolio Summary'!A9</f>
        <v>Property 4</v>
      </c>
      <c r="B44" s="9" t="s">
        <v>124</v>
      </c>
      <c r="C44" s="9"/>
      <c r="D44" s="9"/>
      <c r="E44" s="9"/>
      <c r="F44" s="9"/>
    </row>
    <row r="45" customFormat="false" ht="15" hidden="false" customHeight="false" outlineLevel="0" collapsed="false">
      <c r="A45" s="9" t="str">
        <f aca="false">'Portfolio Summary'!A9</f>
        <v>Property 4</v>
      </c>
      <c r="B45" s="9" t="s">
        <v>19</v>
      </c>
      <c r="C45" s="9"/>
      <c r="D45" s="9"/>
      <c r="E45" s="9"/>
      <c r="F45" s="9"/>
    </row>
    <row r="46" customFormat="false" ht="15" hidden="false" customHeight="false" outlineLevel="0" collapsed="false">
      <c r="A46" s="9" t="str">
        <f aca="false">'Portfolio Summary'!A9</f>
        <v>Property 4</v>
      </c>
      <c r="B46" s="9" t="s">
        <v>125</v>
      </c>
      <c r="C46" s="9"/>
      <c r="D46" s="9"/>
      <c r="E46" s="9"/>
      <c r="F46" s="9"/>
    </row>
    <row r="47" customFormat="false" ht="15" hidden="false" customHeight="false" outlineLevel="0" collapsed="false">
      <c r="A47" s="9" t="str">
        <f aca="false">'Portfolio Summary'!A9</f>
        <v>Property 4</v>
      </c>
      <c r="B47" s="9" t="s">
        <v>126</v>
      </c>
      <c r="C47" s="9"/>
      <c r="D47" s="9"/>
      <c r="E47" s="9"/>
      <c r="F47" s="9"/>
    </row>
    <row r="48" customFormat="false" ht="15" hidden="false" customHeight="false" outlineLevel="0" collapsed="false">
      <c r="A48" s="9" t="str">
        <f aca="false">'Portfolio Summary'!A9</f>
        <v>Property 4</v>
      </c>
      <c r="B48" s="9" t="s">
        <v>127</v>
      </c>
      <c r="C48" s="9"/>
      <c r="D48" s="9"/>
      <c r="E48" s="9"/>
      <c r="F48" s="9"/>
    </row>
    <row r="49" customFormat="false" ht="15" hidden="false" customHeight="false" outlineLevel="0" collapsed="false">
      <c r="A49" s="9" t="str">
        <f aca="false">'Portfolio Summary'!A9</f>
        <v>Property 4</v>
      </c>
      <c r="B49" s="9" t="s">
        <v>128</v>
      </c>
      <c r="C49" s="9"/>
      <c r="D49" s="9"/>
      <c r="E49" s="9"/>
      <c r="F49" s="9"/>
    </row>
    <row r="50" customFormat="false" ht="15" hidden="false" customHeight="false" outlineLevel="0" collapsed="false">
      <c r="A50" s="9" t="str">
        <f aca="false">'Portfolio Summary'!A9</f>
        <v>Property 4</v>
      </c>
      <c r="B50" s="9" t="s">
        <v>129</v>
      </c>
      <c r="C50" s="9"/>
      <c r="D50" s="9"/>
      <c r="E50" s="9"/>
      <c r="F50" s="9"/>
    </row>
    <row r="51" customFormat="false" ht="15" hidden="false" customHeight="false" outlineLevel="0" collapsed="false">
      <c r="A51" s="9" t="str">
        <f aca="false">'Portfolio Summary'!A9</f>
        <v>Property 4</v>
      </c>
      <c r="B51" s="9" t="s">
        <v>130</v>
      </c>
      <c r="C51" s="9"/>
      <c r="D51" s="9"/>
      <c r="E51" s="9"/>
      <c r="F51" s="9"/>
    </row>
    <row r="52" customFormat="false" ht="15" hidden="false" customHeight="false" outlineLevel="0" collapsed="false">
      <c r="A52" s="9" t="str">
        <f aca="false">'Portfolio Summary'!A9</f>
        <v>Property 4</v>
      </c>
      <c r="B52" s="9" t="s">
        <v>131</v>
      </c>
      <c r="C52" s="9"/>
      <c r="D52" s="9"/>
      <c r="E52" s="9"/>
      <c r="F52" s="9"/>
    </row>
    <row r="53" customFormat="false" ht="15" hidden="false" customHeight="false" outlineLevel="0" collapsed="false">
      <c r="A53" s="9" t="str">
        <f aca="false">'Portfolio Summary'!A9</f>
        <v>Property 4</v>
      </c>
      <c r="B53" s="9" t="s">
        <v>132</v>
      </c>
      <c r="C53" s="9"/>
      <c r="D53" s="9"/>
      <c r="E53" s="9"/>
      <c r="F53" s="9"/>
    </row>
    <row r="55" customFormat="false" ht="15" hidden="false" customHeight="false" outlineLevel="0" collapsed="false">
      <c r="A55" s="5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0"/>
  </cols>
  <sheetData>
    <row r="1" customFormat="false" ht="22.0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135</v>
      </c>
    </row>
    <row r="5" customFormat="false" ht="27.75" hidden="false" customHeight="true" outlineLevel="0" collapsed="false">
      <c r="A5" s="7" t="s">
        <v>42</v>
      </c>
      <c r="B5" s="7" t="s">
        <v>136</v>
      </c>
      <c r="C5" s="7" t="s">
        <v>137</v>
      </c>
    </row>
    <row r="6" customFormat="false" ht="15" hidden="false" customHeight="false" outlineLevel="0" collapsed="false">
      <c r="A6" s="8" t="str">
        <f aca="false">'Portfolio Summary'!A6</f>
        <v>Maple St Duplex</v>
      </c>
      <c r="B6" s="8" t="s">
        <v>138</v>
      </c>
      <c r="C6" s="8" t="s">
        <v>139</v>
      </c>
    </row>
    <row r="7" customFormat="false" ht="15" hidden="false" customHeight="false" outlineLevel="0" collapsed="false">
      <c r="A7" s="9" t="str">
        <f aca="false">'Portfolio Summary'!A6</f>
        <v>Maple St Duplex</v>
      </c>
      <c r="B7" s="9" t="s">
        <v>140</v>
      </c>
      <c r="C7" s="9"/>
    </row>
    <row r="8" customFormat="false" ht="15" hidden="false" customHeight="false" outlineLevel="0" collapsed="false">
      <c r="A8" s="9" t="str">
        <f aca="false">'Portfolio Summary'!A6</f>
        <v>Maple St Duplex</v>
      </c>
      <c r="B8" s="9" t="s">
        <v>141</v>
      </c>
      <c r="C8" s="9"/>
    </row>
    <row r="9" customFormat="false" ht="15" hidden="false" customHeight="false" outlineLevel="0" collapsed="false">
      <c r="A9" s="9" t="str">
        <f aca="false">'Portfolio Summary'!A6</f>
        <v>Maple St Duplex</v>
      </c>
      <c r="B9" s="9" t="s">
        <v>142</v>
      </c>
      <c r="C9" s="9"/>
    </row>
    <row r="10" customFormat="false" ht="15" hidden="false" customHeight="false" outlineLevel="0" collapsed="false">
      <c r="A10" s="9" t="str">
        <f aca="false">'Portfolio Summary'!A6</f>
        <v>Maple St Duplex</v>
      </c>
      <c r="B10" s="9" t="s">
        <v>143</v>
      </c>
      <c r="C10" s="9"/>
    </row>
    <row r="11" customFormat="false" ht="15" hidden="false" customHeight="false" outlineLevel="0" collapsed="false">
      <c r="A11" s="9" t="str">
        <f aca="false">'Portfolio Summary'!A6</f>
        <v>Maple St Duplex</v>
      </c>
      <c r="B11" s="9" t="s">
        <v>144</v>
      </c>
      <c r="C11" s="9"/>
    </row>
    <row r="12" customFormat="false" ht="15" hidden="false" customHeight="false" outlineLevel="0" collapsed="false">
      <c r="A12" s="9" t="str">
        <f aca="false">'Portfolio Summary'!A6</f>
        <v>Maple St Duplex</v>
      </c>
      <c r="B12" s="9" t="s">
        <v>145</v>
      </c>
      <c r="C12" s="9"/>
    </row>
    <row r="13" customFormat="false" ht="15" hidden="false" customHeight="false" outlineLevel="0" collapsed="false">
      <c r="A13" s="9" t="str">
        <f aca="false">'Portfolio Summary'!A6</f>
        <v>Maple St Duplex</v>
      </c>
      <c r="B13" s="9" t="s">
        <v>146</v>
      </c>
      <c r="C13" s="9"/>
    </row>
    <row r="14" customFormat="false" ht="15" hidden="false" customHeight="false" outlineLevel="0" collapsed="false">
      <c r="A14" s="9" t="str">
        <f aca="false">'Portfolio Summary'!A6</f>
        <v>Maple St Duplex</v>
      </c>
      <c r="B14" s="9" t="s">
        <v>147</v>
      </c>
      <c r="C14" s="9"/>
    </row>
    <row r="15" customFormat="false" ht="15" hidden="false" customHeight="false" outlineLevel="0" collapsed="false">
      <c r="A15" s="9" t="str">
        <f aca="false">'Portfolio Summary'!A6</f>
        <v>Maple St Duplex</v>
      </c>
      <c r="B15" s="9" t="s">
        <v>148</v>
      </c>
      <c r="C15" s="9"/>
    </row>
    <row r="16" customFormat="false" ht="15" hidden="false" customHeight="false" outlineLevel="0" collapsed="false">
      <c r="A16" s="9" t="str">
        <f aca="false">'Portfolio Summary'!A7</f>
        <v>Property 2</v>
      </c>
      <c r="B16" s="9" t="s">
        <v>138</v>
      </c>
      <c r="C16" s="9"/>
    </row>
    <row r="17" customFormat="false" ht="15" hidden="false" customHeight="false" outlineLevel="0" collapsed="false">
      <c r="A17" s="9" t="str">
        <f aca="false">'Portfolio Summary'!A7</f>
        <v>Property 2</v>
      </c>
      <c r="B17" s="9" t="s">
        <v>140</v>
      </c>
      <c r="C17" s="9"/>
    </row>
    <row r="18" customFormat="false" ht="15" hidden="false" customHeight="false" outlineLevel="0" collapsed="false">
      <c r="A18" s="9" t="str">
        <f aca="false">'Portfolio Summary'!A7</f>
        <v>Property 2</v>
      </c>
      <c r="B18" s="9" t="s">
        <v>141</v>
      </c>
      <c r="C18" s="9"/>
    </row>
    <row r="19" customFormat="false" ht="15" hidden="false" customHeight="false" outlineLevel="0" collapsed="false">
      <c r="A19" s="9" t="str">
        <f aca="false">'Portfolio Summary'!A7</f>
        <v>Property 2</v>
      </c>
      <c r="B19" s="9" t="s">
        <v>142</v>
      </c>
      <c r="C19" s="9"/>
    </row>
    <row r="20" customFormat="false" ht="15" hidden="false" customHeight="false" outlineLevel="0" collapsed="false">
      <c r="A20" s="9" t="str">
        <f aca="false">'Portfolio Summary'!A7</f>
        <v>Property 2</v>
      </c>
      <c r="B20" s="9" t="s">
        <v>143</v>
      </c>
      <c r="C20" s="9"/>
    </row>
    <row r="21" customFormat="false" ht="15" hidden="false" customHeight="false" outlineLevel="0" collapsed="false">
      <c r="A21" s="9" t="str">
        <f aca="false">'Portfolio Summary'!A7</f>
        <v>Property 2</v>
      </c>
      <c r="B21" s="9" t="s">
        <v>144</v>
      </c>
      <c r="C21" s="9"/>
    </row>
    <row r="22" customFormat="false" ht="15" hidden="false" customHeight="false" outlineLevel="0" collapsed="false">
      <c r="A22" s="9" t="str">
        <f aca="false">'Portfolio Summary'!A7</f>
        <v>Property 2</v>
      </c>
      <c r="B22" s="9" t="s">
        <v>145</v>
      </c>
      <c r="C22" s="9"/>
    </row>
    <row r="23" customFormat="false" ht="15" hidden="false" customHeight="false" outlineLevel="0" collapsed="false">
      <c r="A23" s="9" t="str">
        <f aca="false">'Portfolio Summary'!A7</f>
        <v>Property 2</v>
      </c>
      <c r="B23" s="9" t="s">
        <v>146</v>
      </c>
      <c r="C23" s="9"/>
    </row>
    <row r="24" customFormat="false" ht="15" hidden="false" customHeight="false" outlineLevel="0" collapsed="false">
      <c r="A24" s="9" t="str">
        <f aca="false">'Portfolio Summary'!A7</f>
        <v>Property 2</v>
      </c>
      <c r="B24" s="9" t="s">
        <v>147</v>
      </c>
      <c r="C24" s="9"/>
    </row>
    <row r="25" customFormat="false" ht="15" hidden="false" customHeight="false" outlineLevel="0" collapsed="false">
      <c r="A25" s="9" t="str">
        <f aca="false">'Portfolio Summary'!A7</f>
        <v>Property 2</v>
      </c>
      <c r="B25" s="9" t="s">
        <v>148</v>
      </c>
      <c r="C25" s="9"/>
    </row>
    <row r="26" customFormat="false" ht="15" hidden="false" customHeight="false" outlineLevel="0" collapsed="false">
      <c r="A26" s="9" t="str">
        <f aca="false">'Portfolio Summary'!A8</f>
        <v>Property 3</v>
      </c>
      <c r="B26" s="9" t="s">
        <v>138</v>
      </c>
      <c r="C26" s="9"/>
    </row>
    <row r="27" customFormat="false" ht="15" hidden="false" customHeight="false" outlineLevel="0" collapsed="false">
      <c r="A27" s="9" t="str">
        <f aca="false">'Portfolio Summary'!A8</f>
        <v>Property 3</v>
      </c>
      <c r="B27" s="9" t="s">
        <v>140</v>
      </c>
      <c r="C27" s="9"/>
    </row>
    <row r="28" customFormat="false" ht="15" hidden="false" customHeight="false" outlineLevel="0" collapsed="false">
      <c r="A28" s="9" t="str">
        <f aca="false">'Portfolio Summary'!A8</f>
        <v>Property 3</v>
      </c>
      <c r="B28" s="9" t="s">
        <v>141</v>
      </c>
      <c r="C28" s="9"/>
    </row>
    <row r="29" customFormat="false" ht="15" hidden="false" customHeight="false" outlineLevel="0" collapsed="false">
      <c r="A29" s="9" t="str">
        <f aca="false">'Portfolio Summary'!A8</f>
        <v>Property 3</v>
      </c>
      <c r="B29" s="9" t="s">
        <v>142</v>
      </c>
      <c r="C29" s="9"/>
    </row>
    <row r="30" customFormat="false" ht="15" hidden="false" customHeight="false" outlineLevel="0" collapsed="false">
      <c r="A30" s="9" t="str">
        <f aca="false">'Portfolio Summary'!A8</f>
        <v>Property 3</v>
      </c>
      <c r="B30" s="9" t="s">
        <v>143</v>
      </c>
      <c r="C30" s="9"/>
    </row>
    <row r="31" customFormat="false" ht="15" hidden="false" customHeight="false" outlineLevel="0" collapsed="false">
      <c r="A31" s="9" t="str">
        <f aca="false">'Portfolio Summary'!A8</f>
        <v>Property 3</v>
      </c>
      <c r="B31" s="9" t="s">
        <v>144</v>
      </c>
      <c r="C31" s="9"/>
    </row>
    <row r="32" customFormat="false" ht="15" hidden="false" customHeight="false" outlineLevel="0" collapsed="false">
      <c r="A32" s="9" t="str">
        <f aca="false">'Portfolio Summary'!A8</f>
        <v>Property 3</v>
      </c>
      <c r="B32" s="9" t="s">
        <v>145</v>
      </c>
      <c r="C32" s="9"/>
    </row>
    <row r="33" customFormat="false" ht="15" hidden="false" customHeight="false" outlineLevel="0" collapsed="false">
      <c r="A33" s="9" t="str">
        <f aca="false">'Portfolio Summary'!A8</f>
        <v>Property 3</v>
      </c>
      <c r="B33" s="9" t="s">
        <v>146</v>
      </c>
      <c r="C33" s="9"/>
    </row>
    <row r="34" customFormat="false" ht="15" hidden="false" customHeight="false" outlineLevel="0" collapsed="false">
      <c r="A34" s="9" t="str">
        <f aca="false">'Portfolio Summary'!A8</f>
        <v>Property 3</v>
      </c>
      <c r="B34" s="9" t="s">
        <v>147</v>
      </c>
      <c r="C34" s="9"/>
    </row>
    <row r="35" customFormat="false" ht="15" hidden="false" customHeight="false" outlineLevel="0" collapsed="false">
      <c r="A35" s="9" t="str">
        <f aca="false">'Portfolio Summary'!A8</f>
        <v>Property 3</v>
      </c>
      <c r="B35" s="9" t="s">
        <v>148</v>
      </c>
      <c r="C35" s="9"/>
    </row>
    <row r="36" customFormat="false" ht="15" hidden="false" customHeight="false" outlineLevel="0" collapsed="false">
      <c r="A36" s="9" t="str">
        <f aca="false">'Portfolio Summary'!A9</f>
        <v>Property 4</v>
      </c>
      <c r="B36" s="9" t="s">
        <v>138</v>
      </c>
      <c r="C36" s="9"/>
    </row>
    <row r="37" customFormat="false" ht="15" hidden="false" customHeight="false" outlineLevel="0" collapsed="false">
      <c r="A37" s="9" t="str">
        <f aca="false">'Portfolio Summary'!A9</f>
        <v>Property 4</v>
      </c>
      <c r="B37" s="9" t="s">
        <v>140</v>
      </c>
      <c r="C37" s="9"/>
    </row>
    <row r="38" customFormat="false" ht="15" hidden="false" customHeight="false" outlineLevel="0" collapsed="false">
      <c r="A38" s="9" t="str">
        <f aca="false">'Portfolio Summary'!A9</f>
        <v>Property 4</v>
      </c>
      <c r="B38" s="9" t="s">
        <v>141</v>
      </c>
      <c r="C38" s="9"/>
    </row>
    <row r="39" customFormat="false" ht="15" hidden="false" customHeight="false" outlineLevel="0" collapsed="false">
      <c r="A39" s="9" t="str">
        <f aca="false">'Portfolio Summary'!A9</f>
        <v>Property 4</v>
      </c>
      <c r="B39" s="9" t="s">
        <v>142</v>
      </c>
      <c r="C39" s="9"/>
    </row>
    <row r="40" customFormat="false" ht="15" hidden="false" customHeight="false" outlineLevel="0" collapsed="false">
      <c r="A40" s="9" t="str">
        <f aca="false">'Portfolio Summary'!A9</f>
        <v>Property 4</v>
      </c>
      <c r="B40" s="9" t="s">
        <v>143</v>
      </c>
      <c r="C40" s="9"/>
    </row>
    <row r="41" customFormat="false" ht="15" hidden="false" customHeight="false" outlineLevel="0" collapsed="false">
      <c r="A41" s="9" t="str">
        <f aca="false">'Portfolio Summary'!A9</f>
        <v>Property 4</v>
      </c>
      <c r="B41" s="9" t="s">
        <v>144</v>
      </c>
      <c r="C41" s="9"/>
    </row>
    <row r="42" customFormat="false" ht="15" hidden="false" customHeight="false" outlineLevel="0" collapsed="false">
      <c r="A42" s="9" t="str">
        <f aca="false">'Portfolio Summary'!A9</f>
        <v>Property 4</v>
      </c>
      <c r="B42" s="9" t="s">
        <v>145</v>
      </c>
      <c r="C42" s="9"/>
    </row>
    <row r="43" customFormat="false" ht="15" hidden="false" customHeight="false" outlineLevel="0" collapsed="false">
      <c r="A43" s="9" t="str">
        <f aca="false">'Portfolio Summary'!A9</f>
        <v>Property 4</v>
      </c>
      <c r="B43" s="9" t="s">
        <v>146</v>
      </c>
      <c r="C43" s="9"/>
    </row>
    <row r="44" customFormat="false" ht="15" hidden="false" customHeight="false" outlineLevel="0" collapsed="false">
      <c r="A44" s="9" t="str">
        <f aca="false">'Portfolio Summary'!A9</f>
        <v>Property 4</v>
      </c>
      <c r="B44" s="9" t="s">
        <v>147</v>
      </c>
      <c r="C44" s="9"/>
    </row>
    <row r="45" customFormat="false" ht="15" hidden="false" customHeight="false" outlineLevel="0" collapsed="false">
      <c r="A45" s="9" t="str">
        <f aca="false">'Portfolio Summary'!A9</f>
        <v>Property 4</v>
      </c>
      <c r="B45" s="9" t="s">
        <v>148</v>
      </c>
      <c r="C45" s="9"/>
    </row>
    <row r="47" customFormat="false" ht="15" hidden="false" customHeight="false" outlineLevel="0" collapsed="false">
      <c r="A47" s="5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22.0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135</v>
      </c>
    </row>
    <row r="5" customFormat="false" ht="27.75" hidden="false" customHeight="true" outlineLevel="0" collapsed="false">
      <c r="A5" s="7" t="s">
        <v>42</v>
      </c>
      <c r="B5" s="7" t="s">
        <v>151</v>
      </c>
      <c r="C5" s="7" t="s">
        <v>152</v>
      </c>
      <c r="D5" s="7" t="s">
        <v>153</v>
      </c>
      <c r="E5" s="7" t="s">
        <v>154</v>
      </c>
    </row>
    <row r="6" customFormat="false" ht="15" hidden="false" customHeight="false" outlineLevel="0" collapsed="false">
      <c r="A6" s="8" t="str">
        <f aca="false">'Portfolio Summary'!A6</f>
        <v>Maple St Duplex</v>
      </c>
      <c r="B6" s="8" t="s">
        <v>155</v>
      </c>
      <c r="C6" s="8" t="s">
        <v>156</v>
      </c>
      <c r="D6" s="8" t="s">
        <v>157</v>
      </c>
      <c r="E6" s="8"/>
    </row>
    <row r="7" customFormat="false" ht="15" hidden="false" customHeight="false" outlineLevel="0" collapsed="false">
      <c r="A7" s="9" t="str">
        <f aca="false">'Portfolio Summary'!A6</f>
        <v>Maple St Duplex</v>
      </c>
      <c r="B7" s="9" t="s">
        <v>158</v>
      </c>
      <c r="C7" s="9"/>
      <c r="D7" s="9"/>
      <c r="E7" s="9"/>
    </row>
    <row r="8" customFormat="false" ht="15" hidden="false" customHeight="false" outlineLevel="0" collapsed="false">
      <c r="A8" s="9" t="str">
        <f aca="false">'Portfolio Summary'!A6</f>
        <v>Maple St Duplex</v>
      </c>
      <c r="B8" s="9" t="s">
        <v>159</v>
      </c>
      <c r="C8" s="9"/>
      <c r="D8" s="9"/>
      <c r="E8" s="9"/>
    </row>
    <row r="9" customFormat="false" ht="15" hidden="false" customHeight="false" outlineLevel="0" collapsed="false">
      <c r="A9" s="9" t="str">
        <f aca="false">'Portfolio Summary'!A6</f>
        <v>Maple St Duplex</v>
      </c>
      <c r="B9" s="9" t="s">
        <v>160</v>
      </c>
      <c r="C9" s="9"/>
      <c r="D9" s="9"/>
      <c r="E9" s="9"/>
    </row>
    <row r="10" customFormat="false" ht="15" hidden="false" customHeight="false" outlineLevel="0" collapsed="false">
      <c r="A10" s="9" t="str">
        <f aca="false">'Portfolio Summary'!A6</f>
        <v>Maple St Duplex</v>
      </c>
      <c r="B10" s="9" t="s">
        <v>161</v>
      </c>
      <c r="C10" s="9"/>
      <c r="D10" s="9"/>
      <c r="E10" s="9"/>
    </row>
    <row r="11" customFormat="false" ht="15" hidden="false" customHeight="false" outlineLevel="0" collapsed="false">
      <c r="A11" s="9" t="str">
        <f aca="false">'Portfolio Summary'!A6</f>
        <v>Maple St Duplex</v>
      </c>
      <c r="B11" s="9" t="s">
        <v>162</v>
      </c>
      <c r="C11" s="9"/>
      <c r="D11" s="9"/>
      <c r="E11" s="9"/>
    </row>
    <row r="12" customFormat="false" ht="15" hidden="false" customHeight="false" outlineLevel="0" collapsed="false">
      <c r="A12" s="9" t="str">
        <f aca="false">'Portfolio Summary'!A6</f>
        <v>Maple St Duplex</v>
      </c>
      <c r="B12" s="9" t="s">
        <v>163</v>
      </c>
      <c r="C12" s="9"/>
      <c r="D12" s="9"/>
      <c r="E12" s="9"/>
    </row>
    <row r="13" customFormat="false" ht="15" hidden="false" customHeight="false" outlineLevel="0" collapsed="false">
      <c r="A13" s="9" t="str">
        <f aca="false">'Portfolio Summary'!A6</f>
        <v>Maple St Duplex</v>
      </c>
      <c r="B13" s="9" t="s">
        <v>164</v>
      </c>
      <c r="C13" s="9"/>
      <c r="D13" s="9"/>
      <c r="E13" s="9"/>
    </row>
    <row r="14" customFormat="false" ht="15" hidden="false" customHeight="false" outlineLevel="0" collapsed="false">
      <c r="A14" s="9" t="str">
        <f aca="false">'Portfolio Summary'!A6</f>
        <v>Maple St Duplex</v>
      </c>
      <c r="B14" s="9" t="s">
        <v>165</v>
      </c>
      <c r="C14" s="9"/>
      <c r="D14" s="9"/>
      <c r="E14" s="9"/>
    </row>
    <row r="15" customFormat="false" ht="15" hidden="false" customHeight="false" outlineLevel="0" collapsed="false">
      <c r="A15" s="9" t="str">
        <f aca="false">'Portfolio Summary'!A6</f>
        <v>Maple St Duplex</v>
      </c>
      <c r="B15" s="9" t="s">
        <v>166</v>
      </c>
      <c r="C15" s="9"/>
      <c r="D15" s="9"/>
      <c r="E15" s="9"/>
    </row>
    <row r="16" customFormat="false" ht="15" hidden="false" customHeight="false" outlineLevel="0" collapsed="false">
      <c r="A16" s="9" t="str">
        <f aca="false">'Portfolio Summary'!A6</f>
        <v>Maple St Duplex</v>
      </c>
      <c r="B16" s="9" t="s">
        <v>167</v>
      </c>
      <c r="C16" s="9"/>
      <c r="D16" s="9"/>
      <c r="E16" s="9"/>
    </row>
    <row r="17" customFormat="false" ht="15" hidden="false" customHeight="false" outlineLevel="0" collapsed="false">
      <c r="A17" s="9" t="str">
        <f aca="false">'Portfolio Summary'!A6</f>
        <v>Maple St Duplex</v>
      </c>
      <c r="B17" s="9" t="s">
        <v>168</v>
      </c>
      <c r="C17" s="9"/>
      <c r="D17" s="9"/>
      <c r="E17" s="9"/>
    </row>
    <row r="18" customFormat="false" ht="15" hidden="false" customHeight="false" outlineLevel="0" collapsed="false">
      <c r="A18" s="9" t="str">
        <f aca="false">'Portfolio Summary'!A7</f>
        <v>Property 2</v>
      </c>
      <c r="B18" s="9" t="s">
        <v>155</v>
      </c>
      <c r="C18" s="9"/>
      <c r="D18" s="9"/>
      <c r="E18" s="9"/>
    </row>
    <row r="19" customFormat="false" ht="15" hidden="false" customHeight="false" outlineLevel="0" collapsed="false">
      <c r="A19" s="9" t="str">
        <f aca="false">'Portfolio Summary'!A7</f>
        <v>Property 2</v>
      </c>
      <c r="B19" s="9" t="s">
        <v>158</v>
      </c>
      <c r="C19" s="9"/>
      <c r="D19" s="9"/>
      <c r="E19" s="9"/>
    </row>
    <row r="20" customFormat="false" ht="15" hidden="false" customHeight="false" outlineLevel="0" collapsed="false">
      <c r="A20" s="9" t="str">
        <f aca="false">'Portfolio Summary'!A7</f>
        <v>Property 2</v>
      </c>
      <c r="B20" s="9" t="s">
        <v>159</v>
      </c>
      <c r="C20" s="9"/>
      <c r="D20" s="9"/>
      <c r="E20" s="9"/>
    </row>
    <row r="21" customFormat="false" ht="15" hidden="false" customHeight="false" outlineLevel="0" collapsed="false">
      <c r="A21" s="9" t="str">
        <f aca="false">'Portfolio Summary'!A7</f>
        <v>Property 2</v>
      </c>
      <c r="B21" s="9" t="s">
        <v>160</v>
      </c>
      <c r="C21" s="9"/>
      <c r="D21" s="9"/>
      <c r="E21" s="9"/>
    </row>
    <row r="22" customFormat="false" ht="15" hidden="false" customHeight="false" outlineLevel="0" collapsed="false">
      <c r="A22" s="9" t="str">
        <f aca="false">'Portfolio Summary'!A7</f>
        <v>Property 2</v>
      </c>
      <c r="B22" s="9" t="s">
        <v>161</v>
      </c>
      <c r="C22" s="9"/>
      <c r="D22" s="9"/>
      <c r="E22" s="9"/>
    </row>
    <row r="23" customFormat="false" ht="15" hidden="false" customHeight="false" outlineLevel="0" collapsed="false">
      <c r="A23" s="9" t="str">
        <f aca="false">'Portfolio Summary'!A7</f>
        <v>Property 2</v>
      </c>
      <c r="B23" s="9" t="s">
        <v>162</v>
      </c>
      <c r="C23" s="9"/>
      <c r="D23" s="9"/>
      <c r="E23" s="9"/>
    </row>
    <row r="24" customFormat="false" ht="15" hidden="false" customHeight="false" outlineLevel="0" collapsed="false">
      <c r="A24" s="9" t="str">
        <f aca="false">'Portfolio Summary'!A7</f>
        <v>Property 2</v>
      </c>
      <c r="B24" s="9" t="s">
        <v>163</v>
      </c>
      <c r="C24" s="9"/>
      <c r="D24" s="9"/>
      <c r="E24" s="9"/>
    </row>
    <row r="25" customFormat="false" ht="15" hidden="false" customHeight="false" outlineLevel="0" collapsed="false">
      <c r="A25" s="9" t="str">
        <f aca="false">'Portfolio Summary'!A7</f>
        <v>Property 2</v>
      </c>
      <c r="B25" s="9" t="s">
        <v>164</v>
      </c>
      <c r="C25" s="9"/>
      <c r="D25" s="9"/>
      <c r="E25" s="9"/>
    </row>
    <row r="26" customFormat="false" ht="15" hidden="false" customHeight="false" outlineLevel="0" collapsed="false">
      <c r="A26" s="9" t="str">
        <f aca="false">'Portfolio Summary'!A7</f>
        <v>Property 2</v>
      </c>
      <c r="B26" s="9" t="s">
        <v>165</v>
      </c>
      <c r="C26" s="9"/>
      <c r="D26" s="9"/>
      <c r="E26" s="9"/>
    </row>
    <row r="27" customFormat="false" ht="15" hidden="false" customHeight="false" outlineLevel="0" collapsed="false">
      <c r="A27" s="9" t="str">
        <f aca="false">'Portfolio Summary'!A7</f>
        <v>Property 2</v>
      </c>
      <c r="B27" s="9" t="s">
        <v>166</v>
      </c>
      <c r="C27" s="9"/>
      <c r="D27" s="9"/>
      <c r="E27" s="9"/>
    </row>
    <row r="28" customFormat="false" ht="15" hidden="false" customHeight="false" outlineLevel="0" collapsed="false">
      <c r="A28" s="9" t="str">
        <f aca="false">'Portfolio Summary'!A7</f>
        <v>Property 2</v>
      </c>
      <c r="B28" s="9" t="s">
        <v>167</v>
      </c>
      <c r="C28" s="9"/>
      <c r="D28" s="9"/>
      <c r="E28" s="9"/>
    </row>
    <row r="29" customFormat="false" ht="15" hidden="false" customHeight="false" outlineLevel="0" collapsed="false">
      <c r="A29" s="9" t="str">
        <f aca="false">'Portfolio Summary'!A7</f>
        <v>Property 2</v>
      </c>
      <c r="B29" s="9" t="s">
        <v>168</v>
      </c>
      <c r="C29" s="9"/>
      <c r="D29" s="9"/>
      <c r="E29" s="9"/>
    </row>
    <row r="30" customFormat="false" ht="15" hidden="false" customHeight="false" outlineLevel="0" collapsed="false">
      <c r="A30" s="9" t="str">
        <f aca="false">'Portfolio Summary'!A8</f>
        <v>Property 3</v>
      </c>
      <c r="B30" s="9" t="s">
        <v>155</v>
      </c>
      <c r="C30" s="9"/>
      <c r="D30" s="9"/>
      <c r="E30" s="9"/>
    </row>
    <row r="31" customFormat="false" ht="15" hidden="false" customHeight="false" outlineLevel="0" collapsed="false">
      <c r="A31" s="9" t="str">
        <f aca="false">'Portfolio Summary'!A8</f>
        <v>Property 3</v>
      </c>
      <c r="B31" s="9" t="s">
        <v>158</v>
      </c>
      <c r="C31" s="9"/>
      <c r="D31" s="9"/>
      <c r="E31" s="9"/>
    </row>
    <row r="32" customFormat="false" ht="15" hidden="false" customHeight="false" outlineLevel="0" collapsed="false">
      <c r="A32" s="9" t="str">
        <f aca="false">'Portfolio Summary'!A8</f>
        <v>Property 3</v>
      </c>
      <c r="B32" s="9" t="s">
        <v>159</v>
      </c>
      <c r="C32" s="9"/>
      <c r="D32" s="9"/>
      <c r="E32" s="9"/>
    </row>
    <row r="33" customFormat="false" ht="15" hidden="false" customHeight="false" outlineLevel="0" collapsed="false">
      <c r="A33" s="9" t="str">
        <f aca="false">'Portfolio Summary'!A8</f>
        <v>Property 3</v>
      </c>
      <c r="B33" s="9" t="s">
        <v>160</v>
      </c>
      <c r="C33" s="9"/>
      <c r="D33" s="9"/>
      <c r="E33" s="9"/>
    </row>
    <row r="34" customFormat="false" ht="15" hidden="false" customHeight="false" outlineLevel="0" collapsed="false">
      <c r="A34" s="9" t="str">
        <f aca="false">'Portfolio Summary'!A8</f>
        <v>Property 3</v>
      </c>
      <c r="B34" s="9" t="s">
        <v>161</v>
      </c>
      <c r="C34" s="9"/>
      <c r="D34" s="9"/>
      <c r="E34" s="9"/>
    </row>
    <row r="35" customFormat="false" ht="15" hidden="false" customHeight="false" outlineLevel="0" collapsed="false">
      <c r="A35" s="9" t="str">
        <f aca="false">'Portfolio Summary'!A8</f>
        <v>Property 3</v>
      </c>
      <c r="B35" s="9" t="s">
        <v>162</v>
      </c>
      <c r="C35" s="9"/>
      <c r="D35" s="9"/>
      <c r="E35" s="9"/>
    </row>
    <row r="36" customFormat="false" ht="15" hidden="false" customHeight="false" outlineLevel="0" collapsed="false">
      <c r="A36" s="9" t="str">
        <f aca="false">'Portfolio Summary'!A8</f>
        <v>Property 3</v>
      </c>
      <c r="B36" s="9" t="s">
        <v>163</v>
      </c>
      <c r="C36" s="9"/>
      <c r="D36" s="9"/>
      <c r="E36" s="9"/>
    </row>
    <row r="37" customFormat="false" ht="15" hidden="false" customHeight="false" outlineLevel="0" collapsed="false">
      <c r="A37" s="9" t="str">
        <f aca="false">'Portfolio Summary'!A8</f>
        <v>Property 3</v>
      </c>
      <c r="B37" s="9" t="s">
        <v>164</v>
      </c>
      <c r="C37" s="9"/>
      <c r="D37" s="9"/>
      <c r="E37" s="9"/>
    </row>
    <row r="38" customFormat="false" ht="15" hidden="false" customHeight="false" outlineLevel="0" collapsed="false">
      <c r="A38" s="9" t="str">
        <f aca="false">'Portfolio Summary'!A8</f>
        <v>Property 3</v>
      </c>
      <c r="B38" s="9" t="s">
        <v>165</v>
      </c>
      <c r="C38" s="9"/>
      <c r="D38" s="9"/>
      <c r="E38" s="9"/>
    </row>
    <row r="39" customFormat="false" ht="15" hidden="false" customHeight="false" outlineLevel="0" collapsed="false">
      <c r="A39" s="9" t="str">
        <f aca="false">'Portfolio Summary'!A8</f>
        <v>Property 3</v>
      </c>
      <c r="B39" s="9" t="s">
        <v>166</v>
      </c>
      <c r="C39" s="9"/>
      <c r="D39" s="9"/>
      <c r="E39" s="9"/>
    </row>
    <row r="40" customFormat="false" ht="15" hidden="false" customHeight="false" outlineLevel="0" collapsed="false">
      <c r="A40" s="9" t="str">
        <f aca="false">'Portfolio Summary'!A8</f>
        <v>Property 3</v>
      </c>
      <c r="B40" s="9" t="s">
        <v>167</v>
      </c>
      <c r="C40" s="9"/>
      <c r="D40" s="9"/>
      <c r="E40" s="9"/>
    </row>
    <row r="41" customFormat="false" ht="15" hidden="false" customHeight="false" outlineLevel="0" collapsed="false">
      <c r="A41" s="9" t="str">
        <f aca="false">'Portfolio Summary'!A8</f>
        <v>Property 3</v>
      </c>
      <c r="B41" s="9" t="s">
        <v>168</v>
      </c>
      <c r="C41" s="9"/>
      <c r="D41" s="9"/>
      <c r="E41" s="9"/>
    </row>
    <row r="42" customFormat="false" ht="15" hidden="false" customHeight="false" outlineLevel="0" collapsed="false">
      <c r="A42" s="9" t="str">
        <f aca="false">'Portfolio Summary'!A9</f>
        <v>Property 4</v>
      </c>
      <c r="B42" s="9" t="s">
        <v>155</v>
      </c>
      <c r="C42" s="9"/>
      <c r="D42" s="9"/>
      <c r="E42" s="9"/>
    </row>
    <row r="43" customFormat="false" ht="15" hidden="false" customHeight="false" outlineLevel="0" collapsed="false">
      <c r="A43" s="9" t="str">
        <f aca="false">'Portfolio Summary'!A9</f>
        <v>Property 4</v>
      </c>
      <c r="B43" s="9" t="s">
        <v>158</v>
      </c>
      <c r="C43" s="9"/>
      <c r="D43" s="9"/>
      <c r="E43" s="9"/>
    </row>
    <row r="44" customFormat="false" ht="15" hidden="false" customHeight="false" outlineLevel="0" collapsed="false">
      <c r="A44" s="9" t="str">
        <f aca="false">'Portfolio Summary'!A9</f>
        <v>Property 4</v>
      </c>
      <c r="B44" s="9" t="s">
        <v>159</v>
      </c>
      <c r="C44" s="9"/>
      <c r="D44" s="9"/>
      <c r="E44" s="9"/>
    </row>
    <row r="45" customFormat="false" ht="15" hidden="false" customHeight="false" outlineLevel="0" collapsed="false">
      <c r="A45" s="9" t="str">
        <f aca="false">'Portfolio Summary'!A9</f>
        <v>Property 4</v>
      </c>
      <c r="B45" s="9" t="s">
        <v>160</v>
      </c>
      <c r="C45" s="9"/>
      <c r="D45" s="9"/>
      <c r="E45" s="9"/>
    </row>
    <row r="46" customFormat="false" ht="15" hidden="false" customHeight="false" outlineLevel="0" collapsed="false">
      <c r="A46" s="9" t="str">
        <f aca="false">'Portfolio Summary'!A9</f>
        <v>Property 4</v>
      </c>
      <c r="B46" s="9" t="s">
        <v>161</v>
      </c>
      <c r="C46" s="9"/>
      <c r="D46" s="9"/>
      <c r="E46" s="9"/>
    </row>
    <row r="47" customFormat="false" ht="15" hidden="false" customHeight="false" outlineLevel="0" collapsed="false">
      <c r="A47" s="9" t="str">
        <f aca="false">'Portfolio Summary'!A9</f>
        <v>Property 4</v>
      </c>
      <c r="B47" s="9" t="s">
        <v>162</v>
      </c>
      <c r="C47" s="9"/>
      <c r="D47" s="9"/>
      <c r="E47" s="9"/>
    </row>
    <row r="48" customFormat="false" ht="15" hidden="false" customHeight="false" outlineLevel="0" collapsed="false">
      <c r="A48" s="9" t="str">
        <f aca="false">'Portfolio Summary'!A9</f>
        <v>Property 4</v>
      </c>
      <c r="B48" s="9" t="s">
        <v>163</v>
      </c>
      <c r="C48" s="9"/>
      <c r="D48" s="9"/>
      <c r="E48" s="9"/>
    </row>
    <row r="49" customFormat="false" ht="15" hidden="false" customHeight="false" outlineLevel="0" collapsed="false">
      <c r="A49" s="9" t="str">
        <f aca="false">'Portfolio Summary'!A9</f>
        <v>Property 4</v>
      </c>
      <c r="B49" s="9" t="s">
        <v>164</v>
      </c>
      <c r="C49" s="9"/>
      <c r="D49" s="9"/>
      <c r="E49" s="9"/>
    </row>
    <row r="50" customFormat="false" ht="15" hidden="false" customHeight="false" outlineLevel="0" collapsed="false">
      <c r="A50" s="9" t="str">
        <f aca="false">'Portfolio Summary'!A9</f>
        <v>Property 4</v>
      </c>
      <c r="B50" s="9" t="s">
        <v>165</v>
      </c>
      <c r="C50" s="9"/>
      <c r="D50" s="9"/>
      <c r="E50" s="9"/>
    </row>
    <row r="51" customFormat="false" ht="15" hidden="false" customHeight="false" outlineLevel="0" collapsed="false">
      <c r="A51" s="9" t="str">
        <f aca="false">'Portfolio Summary'!A9</f>
        <v>Property 4</v>
      </c>
      <c r="B51" s="9" t="s">
        <v>166</v>
      </c>
      <c r="C51" s="9"/>
      <c r="D51" s="9"/>
      <c r="E51" s="9"/>
    </row>
    <row r="52" customFormat="false" ht="15" hidden="false" customHeight="false" outlineLevel="0" collapsed="false">
      <c r="A52" s="9" t="str">
        <f aca="false">'Portfolio Summary'!A9</f>
        <v>Property 4</v>
      </c>
      <c r="B52" s="9" t="s">
        <v>167</v>
      </c>
      <c r="C52" s="9"/>
      <c r="D52" s="9"/>
      <c r="E52" s="9"/>
    </row>
    <row r="53" customFormat="false" ht="15" hidden="false" customHeight="false" outlineLevel="0" collapsed="false">
      <c r="A53" s="9" t="str">
        <f aca="false">'Portfolio Summary'!A9</f>
        <v>Property 4</v>
      </c>
      <c r="B53" s="9" t="s">
        <v>168</v>
      </c>
      <c r="C53" s="9"/>
      <c r="D53" s="9"/>
      <c r="E53" s="9"/>
    </row>
    <row r="55" customFormat="false" ht="15" hidden="false" customHeight="false" outlineLevel="0" collapsed="false">
      <c r="A55" s="5" t="s">
        <v>149</v>
      </c>
    </row>
  </sheetData>
  <dataValidations count="1">
    <dataValidation allowBlank="true" errorStyle="stop" operator="between" showDropDown="false" showErrorMessage="false" showInputMessage="false" sqref="C6:C53" type="list">
      <formula1>"Spring,Summer,Fall,Winter,Ongoing"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22.0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170</v>
      </c>
    </row>
    <row r="5" customFormat="false" ht="27.75" hidden="false" customHeight="true" outlineLevel="0" collapsed="false">
      <c r="A5" s="7" t="s">
        <v>58</v>
      </c>
      <c r="B5" s="7" t="s">
        <v>57</v>
      </c>
      <c r="C5" s="7" t="s">
        <v>171</v>
      </c>
      <c r="D5" s="7" t="s">
        <v>172</v>
      </c>
      <c r="E5" s="7" t="s">
        <v>173</v>
      </c>
      <c r="F5" s="7" t="s">
        <v>174</v>
      </c>
    </row>
    <row r="6" customFormat="false" ht="15" hidden="false" customHeight="false" outlineLevel="0" collapsed="false">
      <c r="A6" s="8" t="s">
        <v>64</v>
      </c>
      <c r="B6" s="8" t="s">
        <v>63</v>
      </c>
      <c r="C6" s="8" t="n">
        <v>5</v>
      </c>
      <c r="D6" s="8" t="s">
        <v>66</v>
      </c>
      <c r="E6" s="8" t="s">
        <v>66</v>
      </c>
      <c r="F6" s="8" t="s">
        <v>66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7" customFormat="false" ht="15" hidden="false" customHeight="false" outlineLevel="0" collapsed="false">
      <c r="A37" s="5" t="s">
        <v>79</v>
      </c>
    </row>
  </sheetData>
  <dataValidations count="5">
    <dataValidation allowBlank="true" errorStyle="stop" operator="between" showDropDown="false" showErrorMessage="false" showInputMessage="false" sqref="B6:B35" type="list">
      <formula1>'Project Tracker'!$G$6:$G$25</formula1>
      <formula2>0</formula2>
    </dataValidation>
    <dataValidation allowBlank="true" errorStyle="stop" operator="between" showDropDown="false" showErrorMessage="false" showInputMessage="false" sqref="C6:C35" type="list">
      <formula1>"1,2,3,4,5"</formula1>
      <formula2>0</formula2>
    </dataValidation>
    <dataValidation allowBlank="true" errorStyle="stop" operator="between" showDropDown="false" showErrorMessage="false" showInputMessage="false" sqref="D6:D35" type="list">
      <formula1>"Yes,No"</formula1>
      <formula2>0</formula2>
    </dataValidation>
    <dataValidation allowBlank="true" errorStyle="stop" operator="between" showDropDown="false" showErrorMessage="false" showInputMessage="false" sqref="E6:E35" type="list">
      <formula1>"Yes,No"</formula1>
      <formula2>0</formula2>
    </dataValidation>
    <dataValidation allowBlank="true" errorStyle="stop" operator="between" showDropDown="false" showErrorMessage="false" showInputMessage="false" sqref="F6:F3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6" min="5" style="0" width="26"/>
  </cols>
  <sheetData>
    <row r="1" customFormat="false" ht="22.0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176</v>
      </c>
    </row>
    <row r="5" customFormat="false" ht="27.75" hidden="false" customHeight="true" outlineLevel="0" collapsed="false">
      <c r="A5" s="7" t="s">
        <v>177</v>
      </c>
      <c r="B5" s="7" t="s">
        <v>178</v>
      </c>
      <c r="C5" s="7" t="s">
        <v>179</v>
      </c>
      <c r="D5" s="7" t="s">
        <v>180</v>
      </c>
      <c r="E5" s="7" t="s">
        <v>181</v>
      </c>
      <c r="F5" s="7" t="s">
        <v>154</v>
      </c>
    </row>
    <row r="6" customFormat="false" ht="15" hidden="false" customHeight="false" outlineLevel="0" collapsed="false">
      <c r="A6" s="9" t="s">
        <v>182</v>
      </c>
      <c r="B6" s="9"/>
      <c r="C6" s="9"/>
      <c r="D6" s="9"/>
      <c r="E6" s="9"/>
      <c r="F6" s="9"/>
    </row>
    <row r="7" customFormat="false" ht="15" hidden="false" customHeight="false" outlineLevel="0" collapsed="false">
      <c r="A7" s="9" t="s">
        <v>183</v>
      </c>
      <c r="B7" s="9"/>
      <c r="C7" s="9"/>
      <c r="D7" s="9"/>
      <c r="E7" s="9"/>
      <c r="F7" s="9"/>
    </row>
    <row r="8" customFormat="false" ht="15" hidden="false" customHeight="false" outlineLevel="0" collapsed="false">
      <c r="A8" s="9" t="s">
        <v>184</v>
      </c>
      <c r="B8" s="9"/>
      <c r="C8" s="9"/>
      <c r="D8" s="9"/>
      <c r="E8" s="9"/>
      <c r="F8" s="9"/>
    </row>
    <row r="9" customFormat="false" ht="15" hidden="false" customHeight="false" outlineLevel="0" collapsed="false">
      <c r="A9" s="9" t="s">
        <v>185</v>
      </c>
      <c r="B9" s="9"/>
      <c r="C9" s="9"/>
      <c r="D9" s="9"/>
      <c r="E9" s="9"/>
      <c r="F9" s="9"/>
    </row>
    <row r="10" customFormat="false" ht="15" hidden="false" customHeight="false" outlineLevel="0" collapsed="false">
      <c r="A10" s="9" t="s">
        <v>186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A11" s="9" t="s">
        <v>187</v>
      </c>
      <c r="B11" s="9"/>
      <c r="C11" s="9"/>
      <c r="D11" s="9"/>
      <c r="E11" s="9"/>
      <c r="F11" s="9"/>
    </row>
    <row r="12" customFormat="false" ht="15" hidden="false" customHeight="false" outlineLevel="0" collapsed="false">
      <c r="A12" s="9" t="s">
        <v>188</v>
      </c>
      <c r="B12" s="9"/>
      <c r="C12" s="9"/>
      <c r="D12" s="9"/>
      <c r="E12" s="9"/>
      <c r="F12" s="9"/>
    </row>
    <row r="13" customFormat="false" ht="15" hidden="false" customHeight="false" outlineLevel="0" collapsed="false">
      <c r="A13" s="9" t="s">
        <v>189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9" t="s">
        <v>190</v>
      </c>
      <c r="B14" s="9"/>
      <c r="C14" s="9"/>
      <c r="D14" s="9"/>
      <c r="E14" s="9"/>
      <c r="F14" s="9"/>
    </row>
    <row r="15" customFormat="false" ht="15" hidden="false" customHeight="false" outlineLevel="0" collapsed="false">
      <c r="A15" s="9" t="s">
        <v>191</v>
      </c>
      <c r="B15" s="9"/>
      <c r="C15" s="9"/>
      <c r="D15" s="9"/>
      <c r="E15" s="9"/>
      <c r="F15" s="9"/>
    </row>
    <row r="16" customFormat="false" ht="15" hidden="false" customHeight="false" outlineLevel="0" collapsed="false">
      <c r="A16" s="9" t="s">
        <v>192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9" t="s">
        <v>193</v>
      </c>
      <c r="B17" s="9"/>
      <c r="C17" s="9"/>
      <c r="D17" s="9"/>
      <c r="E17" s="9"/>
      <c r="F17" s="9"/>
    </row>
    <row r="18" customFormat="false" ht="15" hidden="false" customHeight="false" outlineLevel="0" collapsed="false">
      <c r="A18" s="9" t="s">
        <v>194</v>
      </c>
      <c r="B18" s="9"/>
      <c r="C18" s="9"/>
      <c r="D18" s="9"/>
      <c r="E18" s="9"/>
      <c r="F18" s="9"/>
    </row>
    <row r="19" customFormat="false" ht="15" hidden="false" customHeight="false" outlineLevel="0" collapsed="false">
      <c r="A19" s="9" t="s">
        <v>195</v>
      </c>
      <c r="B19" s="9"/>
      <c r="C19" s="9"/>
      <c r="D19" s="9"/>
      <c r="E19" s="9"/>
      <c r="F19" s="9"/>
    </row>
    <row r="20" customFormat="false" ht="15" hidden="false" customHeight="false" outlineLevel="0" collapsed="false">
      <c r="A20" s="9" t="s">
        <v>196</v>
      </c>
      <c r="B20" s="9"/>
      <c r="C20" s="9"/>
      <c r="D20" s="9"/>
      <c r="E20" s="9"/>
      <c r="F20" s="9"/>
    </row>
    <row r="21" customFormat="false" ht="15" hidden="false" customHeight="false" outlineLevel="0" collapsed="false">
      <c r="A21" s="9" t="s">
        <v>197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9" t="s">
        <v>198</v>
      </c>
      <c r="B22" s="9"/>
      <c r="C22" s="9"/>
      <c r="D22" s="9"/>
      <c r="E22" s="9"/>
      <c r="F22" s="9"/>
    </row>
    <row r="23" customFormat="false" ht="15" hidden="false" customHeight="false" outlineLevel="0" collapsed="false">
      <c r="A23" s="9" t="s">
        <v>199</v>
      </c>
      <c r="B23" s="9"/>
      <c r="C23" s="9"/>
      <c r="D23" s="9"/>
      <c r="E23" s="9"/>
      <c r="F23" s="9"/>
    </row>
    <row r="24" customFormat="false" ht="15" hidden="false" customHeight="false" outlineLevel="0" collapsed="false">
      <c r="A24" s="9" t="s">
        <v>200</v>
      </c>
      <c r="B24" s="9"/>
      <c r="C24" s="9"/>
      <c r="D24" s="9"/>
      <c r="E24" s="9"/>
      <c r="F24" s="9"/>
    </row>
    <row r="25" customFormat="false" ht="15" hidden="false" customHeight="false" outlineLevel="0" collapsed="false">
      <c r="A25" s="9" t="s">
        <v>201</v>
      </c>
      <c r="B25" s="9"/>
      <c r="C25" s="9"/>
      <c r="D25" s="9"/>
      <c r="E25" s="9"/>
      <c r="F25" s="9"/>
    </row>
    <row r="26" customFormat="false" ht="15" hidden="false" customHeight="false" outlineLevel="0" collapsed="false">
      <c r="A26" s="9" t="s">
        <v>202</v>
      </c>
      <c r="B26" s="9"/>
      <c r="C26" s="9"/>
      <c r="D26" s="9"/>
      <c r="E26" s="9"/>
      <c r="F26" s="9"/>
    </row>
    <row r="27" customFormat="false" ht="15" hidden="false" customHeight="false" outlineLevel="0" collapsed="false">
      <c r="A27" s="9" t="s">
        <v>203</v>
      </c>
      <c r="B27" s="9"/>
      <c r="C27" s="9"/>
      <c r="D27" s="9"/>
      <c r="E27" s="9"/>
      <c r="F27" s="9"/>
    </row>
    <row r="28" customFormat="false" ht="15" hidden="false" customHeight="false" outlineLevel="0" collapsed="false">
      <c r="A28" s="9" t="s">
        <v>204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9" t="s">
        <v>205</v>
      </c>
      <c r="B29" s="9"/>
      <c r="C29" s="9"/>
      <c r="D29" s="9"/>
      <c r="E29" s="9"/>
      <c r="F2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20"/>
  </cols>
  <sheetData>
    <row r="1" customFormat="false" ht="22.0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207</v>
      </c>
    </row>
    <row r="5" customFormat="false" ht="27.75" hidden="false" customHeight="true" outlineLevel="0" collapsed="false">
      <c r="A5" s="7" t="s">
        <v>42</v>
      </c>
      <c r="B5" s="7" t="s">
        <v>208</v>
      </c>
      <c r="C5" s="7" t="s">
        <v>209</v>
      </c>
      <c r="D5" s="7" t="s">
        <v>85</v>
      </c>
      <c r="E5" s="7" t="s">
        <v>210</v>
      </c>
    </row>
    <row r="6" customFormat="false" ht="15" hidden="false" customHeight="false" outlineLevel="0" collapsed="false">
      <c r="A6" s="9" t="str">
        <f aca="false">'Portfolio Summary'!A6</f>
        <v>Maple St Duplex</v>
      </c>
      <c r="B6" s="14" t="n">
        <f aca="false">IF('Portfolio Summary'!A6="","",SUMIFS('Budget vs. Actual'!$C$6:$C$65,'Budget vs. Actual'!$A$6:$A$65,'Portfolio Summary'!A6&amp;" — *"))</f>
        <v>8500</v>
      </c>
      <c r="C6" s="14" t="n">
        <f aca="false">IF('Portfolio Summary'!A6="","",SUMIFS('Budget vs. Actual'!$D$6:$D$65,'Budget vs. Actual'!$A$6:$A$65,'Portfolio Summary'!A6&amp;" — *"))</f>
        <v>8950</v>
      </c>
      <c r="D6" s="16" t="n">
        <f aca="false">IF(OR(B6="",C6=""),"",B6-C6)</f>
        <v>-450</v>
      </c>
      <c r="E6" s="17" t="n">
        <f aca="false">IFERROR(C6/$C$10,"")</f>
        <v>1</v>
      </c>
    </row>
    <row r="7" customFormat="false" ht="15" hidden="false" customHeight="false" outlineLevel="0" collapsed="false">
      <c r="A7" s="9" t="str">
        <f aca="false">'Portfolio Summary'!A7</f>
        <v>Property 2</v>
      </c>
      <c r="B7" s="14" t="n">
        <f aca="false">IF('Portfolio Summary'!A7="","",SUMIFS('Budget vs. Actual'!$C$6:$C$65,'Budget vs. Actual'!$A$6:$A$65,'Portfolio Summary'!A7&amp;" — *"))</f>
        <v>0</v>
      </c>
      <c r="C7" s="14" t="n">
        <f aca="false">IF('Portfolio Summary'!A7="","",SUMIFS('Budget vs. Actual'!$D$6:$D$65,'Budget vs. Actual'!$A$6:$A$65,'Portfolio Summary'!A7&amp;" — *"))</f>
        <v>0</v>
      </c>
      <c r="D7" s="16" t="n">
        <f aca="false">IF(OR(B7="",C7=""),"",B7-C7)</f>
        <v>0</v>
      </c>
      <c r="E7" s="17" t="n">
        <f aca="false">IFERROR(C7/$C$10,"")</f>
        <v>0</v>
      </c>
    </row>
    <row r="8" customFormat="false" ht="15" hidden="false" customHeight="false" outlineLevel="0" collapsed="false">
      <c r="A8" s="9" t="str">
        <f aca="false">'Portfolio Summary'!A8</f>
        <v>Property 3</v>
      </c>
      <c r="B8" s="14" t="n">
        <f aca="false">IF('Portfolio Summary'!A8="","",SUMIFS('Budget vs. Actual'!$C$6:$C$65,'Budget vs. Actual'!$A$6:$A$65,'Portfolio Summary'!A8&amp;" — *"))</f>
        <v>0</v>
      </c>
      <c r="C8" s="14" t="n">
        <f aca="false">IF('Portfolio Summary'!A8="","",SUMIFS('Budget vs. Actual'!$D$6:$D$65,'Budget vs. Actual'!$A$6:$A$65,'Portfolio Summary'!A8&amp;" — *"))</f>
        <v>0</v>
      </c>
      <c r="D8" s="16" t="n">
        <f aca="false">IF(OR(B8="",C8=""),"",B8-C8)</f>
        <v>0</v>
      </c>
      <c r="E8" s="17" t="n">
        <f aca="false">IFERROR(C8/$C$10,"")</f>
        <v>0</v>
      </c>
    </row>
    <row r="9" customFormat="false" ht="15" hidden="false" customHeight="false" outlineLevel="0" collapsed="false">
      <c r="A9" s="9" t="str">
        <f aca="false">'Portfolio Summary'!A9</f>
        <v>Property 4</v>
      </c>
      <c r="B9" s="14" t="n">
        <f aca="false">IF('Portfolio Summary'!A9="","",SUMIFS('Budget vs. Actual'!$C$6:$C$65,'Budget vs. Actual'!$A$6:$A$65,'Portfolio Summary'!A9&amp;" — *"))</f>
        <v>0</v>
      </c>
      <c r="C9" s="14" t="n">
        <f aca="false">IF('Portfolio Summary'!A9="","",SUMIFS('Budget vs. Actual'!$D$6:$D$65,'Budget vs. Actual'!$A$6:$A$65,'Portfolio Summary'!A9&amp;" — *"))</f>
        <v>0</v>
      </c>
      <c r="D9" s="16" t="n">
        <f aca="false">IF(OR(B9="",C9=""),"",B9-C9)</f>
        <v>0</v>
      </c>
      <c r="E9" s="17" t="n">
        <f aca="false">IFERROR(C9/$C$10,"")</f>
        <v>0</v>
      </c>
    </row>
    <row r="10" customFormat="false" ht="15" hidden="false" customHeight="false" outlineLevel="0" collapsed="false">
      <c r="A10" s="10" t="s">
        <v>211</v>
      </c>
      <c r="B10" s="18" t="n">
        <f aca="false">SUM(B6:B9)</f>
        <v>8500</v>
      </c>
      <c r="C10" s="18" t="n">
        <f aca="false">SUM(C6:C9)</f>
        <v>8950</v>
      </c>
      <c r="D10" s="19" t="n">
        <f aca="false">SUM(D6:D9)</f>
        <v>-450</v>
      </c>
    </row>
    <row r="12" customFormat="false" ht="15" hidden="false" customHeight="false" outlineLevel="0" collapsed="false">
      <c r="A12" s="5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22.0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214</v>
      </c>
    </row>
    <row r="5" customFormat="false" ht="27.75" hidden="false" customHeight="true" outlineLevel="0" collapsed="false">
      <c r="A5" s="7" t="s">
        <v>42</v>
      </c>
      <c r="B5" s="7" t="s">
        <v>104</v>
      </c>
      <c r="C5" s="7" t="s">
        <v>215</v>
      </c>
      <c r="D5" s="7" t="s">
        <v>216</v>
      </c>
      <c r="E5" s="7" t="s">
        <v>217</v>
      </c>
      <c r="F5" s="7" t="s">
        <v>154</v>
      </c>
    </row>
    <row r="6" customFormat="false" ht="15" hidden="false" customHeight="false" outlineLevel="0" collapsed="false">
      <c r="A6" s="8" t="s">
        <v>21</v>
      </c>
      <c r="B6" s="8" t="s">
        <v>52</v>
      </c>
      <c r="C6" s="8" t="s">
        <v>218</v>
      </c>
      <c r="D6" s="13" t="n">
        <v>14200</v>
      </c>
      <c r="E6" s="8" t="s">
        <v>219</v>
      </c>
      <c r="F6" s="8" t="s">
        <v>220</v>
      </c>
    </row>
    <row r="7" customFormat="false" ht="15" hidden="false" customHeight="false" outlineLevel="0" collapsed="false">
      <c r="A7" s="9"/>
      <c r="B7" s="9"/>
      <c r="C7" s="9"/>
      <c r="D7" s="14"/>
      <c r="E7" s="9"/>
      <c r="F7" s="9"/>
    </row>
    <row r="8" customFormat="false" ht="15" hidden="false" customHeight="false" outlineLevel="0" collapsed="false">
      <c r="A8" s="9"/>
      <c r="B8" s="9"/>
      <c r="C8" s="9"/>
      <c r="D8" s="14"/>
      <c r="E8" s="9"/>
      <c r="F8" s="9"/>
    </row>
    <row r="9" customFormat="false" ht="15" hidden="false" customHeight="false" outlineLevel="0" collapsed="false">
      <c r="A9" s="9"/>
      <c r="B9" s="9"/>
      <c r="C9" s="9"/>
      <c r="D9" s="14"/>
      <c r="E9" s="9"/>
      <c r="F9" s="9"/>
    </row>
    <row r="10" customFormat="false" ht="15" hidden="false" customHeight="false" outlineLevel="0" collapsed="false">
      <c r="A10" s="9"/>
      <c r="B10" s="9"/>
      <c r="C10" s="9"/>
      <c r="D10" s="14"/>
      <c r="E10" s="9"/>
      <c r="F10" s="9"/>
    </row>
    <row r="11" customFormat="false" ht="15" hidden="false" customHeight="false" outlineLevel="0" collapsed="false">
      <c r="A11" s="9"/>
      <c r="B11" s="9"/>
      <c r="C11" s="9"/>
      <c r="D11" s="14"/>
      <c r="E11" s="9"/>
      <c r="F11" s="9"/>
    </row>
    <row r="12" customFormat="false" ht="15" hidden="false" customHeight="false" outlineLevel="0" collapsed="false">
      <c r="A12" s="9"/>
      <c r="B12" s="9"/>
      <c r="C12" s="9"/>
      <c r="D12" s="14"/>
      <c r="E12" s="9"/>
      <c r="F12" s="9"/>
    </row>
    <row r="13" customFormat="false" ht="15" hidden="false" customHeight="false" outlineLevel="0" collapsed="false">
      <c r="A13" s="9"/>
      <c r="B13" s="9"/>
      <c r="C13" s="9"/>
      <c r="D13" s="14"/>
      <c r="E13" s="9"/>
      <c r="F13" s="9"/>
    </row>
    <row r="14" customFormat="false" ht="15" hidden="false" customHeight="false" outlineLevel="0" collapsed="false">
      <c r="A14" s="9"/>
      <c r="B14" s="9"/>
      <c r="C14" s="9"/>
      <c r="D14" s="14"/>
      <c r="E14" s="9"/>
      <c r="F14" s="9"/>
    </row>
    <row r="15" customFormat="false" ht="15" hidden="false" customHeight="false" outlineLevel="0" collapsed="false">
      <c r="A15" s="9"/>
      <c r="B15" s="9"/>
      <c r="C15" s="9"/>
      <c r="D15" s="14"/>
      <c r="E15" s="9"/>
      <c r="F15" s="9"/>
    </row>
    <row r="16" customFormat="false" ht="15" hidden="false" customHeight="false" outlineLevel="0" collapsed="false">
      <c r="A16" s="9"/>
      <c r="B16" s="9"/>
      <c r="C16" s="9"/>
      <c r="D16" s="14"/>
      <c r="E16" s="9"/>
      <c r="F16" s="9"/>
    </row>
    <row r="17" customFormat="false" ht="15" hidden="false" customHeight="false" outlineLevel="0" collapsed="false">
      <c r="A17" s="9"/>
      <c r="B17" s="9"/>
      <c r="C17" s="9"/>
      <c r="D17" s="14"/>
      <c r="E17" s="9"/>
      <c r="F17" s="9"/>
    </row>
    <row r="18" customFormat="false" ht="15" hidden="false" customHeight="false" outlineLevel="0" collapsed="false">
      <c r="A18" s="9"/>
      <c r="B18" s="9"/>
      <c r="C18" s="9"/>
      <c r="D18" s="14"/>
      <c r="E18" s="9"/>
      <c r="F18" s="9"/>
    </row>
    <row r="19" customFormat="false" ht="15" hidden="false" customHeight="false" outlineLevel="0" collapsed="false">
      <c r="A19" s="9"/>
      <c r="B19" s="9"/>
      <c r="C19" s="9"/>
      <c r="D19" s="14"/>
      <c r="E19" s="9"/>
      <c r="F19" s="9"/>
    </row>
    <row r="20" customFormat="false" ht="15" hidden="false" customHeight="false" outlineLevel="0" collapsed="false">
      <c r="A20" s="9"/>
      <c r="B20" s="9"/>
      <c r="C20" s="9"/>
      <c r="D20" s="14"/>
      <c r="E20" s="9"/>
      <c r="F20" s="9"/>
    </row>
    <row r="21" customFormat="false" ht="15" hidden="false" customHeight="false" outlineLevel="0" collapsed="false">
      <c r="A21" s="9"/>
      <c r="B21" s="9"/>
      <c r="C21" s="9"/>
      <c r="D21" s="14"/>
      <c r="E21" s="9"/>
      <c r="F21" s="9"/>
    </row>
    <row r="22" customFormat="false" ht="15" hidden="false" customHeight="false" outlineLevel="0" collapsed="false">
      <c r="A22" s="9"/>
      <c r="B22" s="9"/>
      <c r="C22" s="9"/>
      <c r="D22" s="14"/>
      <c r="E22" s="9"/>
      <c r="F22" s="9"/>
    </row>
    <row r="23" customFormat="false" ht="15" hidden="false" customHeight="false" outlineLevel="0" collapsed="false">
      <c r="A23" s="9"/>
      <c r="B23" s="9"/>
      <c r="C23" s="9"/>
      <c r="D23" s="14"/>
      <c r="E23" s="9"/>
      <c r="F23" s="9"/>
    </row>
    <row r="24" customFormat="false" ht="15" hidden="false" customHeight="false" outlineLevel="0" collapsed="false">
      <c r="A24" s="9"/>
      <c r="B24" s="9"/>
      <c r="C24" s="9"/>
      <c r="D24" s="14"/>
      <c r="E24" s="9"/>
      <c r="F24" s="9"/>
    </row>
    <row r="25" customFormat="false" ht="15" hidden="false" customHeight="false" outlineLevel="0" collapsed="false">
      <c r="A25" s="9"/>
      <c r="B25" s="9"/>
      <c r="C25" s="9"/>
      <c r="D25" s="14"/>
      <c r="E25" s="9"/>
      <c r="F25" s="9"/>
    </row>
    <row r="26" customFormat="false" ht="15" hidden="false" customHeight="false" outlineLevel="0" collapsed="false">
      <c r="A26" s="9"/>
      <c r="B26" s="9"/>
      <c r="C26" s="9"/>
      <c r="D26" s="14"/>
      <c r="E26" s="9"/>
      <c r="F26" s="9"/>
    </row>
    <row r="27" customFormat="false" ht="15" hidden="false" customHeight="false" outlineLevel="0" collapsed="false">
      <c r="A27" s="9"/>
      <c r="B27" s="9"/>
      <c r="C27" s="9"/>
      <c r="D27" s="14"/>
      <c r="E27" s="9"/>
      <c r="F27" s="9"/>
    </row>
    <row r="28" customFormat="false" ht="15" hidden="false" customHeight="false" outlineLevel="0" collapsed="false">
      <c r="A28" s="9"/>
      <c r="B28" s="9"/>
      <c r="C28" s="9"/>
      <c r="D28" s="14"/>
      <c r="E28" s="9"/>
      <c r="F28" s="9"/>
    </row>
    <row r="29" customFormat="false" ht="15" hidden="false" customHeight="false" outlineLevel="0" collapsed="false">
      <c r="A29" s="9"/>
      <c r="B29" s="9"/>
      <c r="C29" s="9"/>
      <c r="D29" s="14"/>
      <c r="E29" s="9"/>
      <c r="F29" s="9"/>
    </row>
    <row r="30" customFormat="false" ht="15" hidden="false" customHeight="false" outlineLevel="0" collapsed="false">
      <c r="A30" s="9"/>
      <c r="B30" s="9"/>
      <c r="C30" s="9"/>
      <c r="D30" s="14"/>
      <c r="E30" s="9"/>
      <c r="F30" s="9"/>
    </row>
    <row r="31" customFormat="false" ht="15" hidden="false" customHeight="false" outlineLevel="0" collapsed="false">
      <c r="A31" s="9"/>
      <c r="B31" s="9"/>
      <c r="C31" s="9"/>
      <c r="D31" s="14"/>
      <c r="E31" s="9"/>
      <c r="F31" s="9"/>
    </row>
    <row r="32" customFormat="false" ht="15" hidden="false" customHeight="false" outlineLevel="0" collapsed="false">
      <c r="A32" s="9"/>
      <c r="B32" s="9"/>
      <c r="C32" s="9"/>
      <c r="D32" s="14"/>
      <c r="E32" s="9"/>
      <c r="F32" s="9"/>
    </row>
    <row r="33" customFormat="false" ht="15" hidden="false" customHeight="false" outlineLevel="0" collapsed="false">
      <c r="A33" s="9"/>
      <c r="B33" s="9"/>
      <c r="C33" s="9"/>
      <c r="D33" s="14"/>
      <c r="E33" s="9"/>
      <c r="F33" s="9"/>
    </row>
    <row r="34" customFormat="false" ht="15" hidden="false" customHeight="false" outlineLevel="0" collapsed="false">
      <c r="A34" s="9"/>
      <c r="B34" s="9"/>
      <c r="C34" s="9"/>
      <c r="D34" s="14"/>
      <c r="E34" s="9"/>
      <c r="F34" s="9"/>
    </row>
    <row r="35" customFormat="false" ht="15" hidden="false" customHeight="false" outlineLevel="0" collapsed="false">
      <c r="A35" s="9"/>
      <c r="B35" s="9"/>
      <c r="C35" s="9"/>
      <c r="D35" s="14"/>
      <c r="E35" s="9"/>
      <c r="F35" s="9"/>
    </row>
    <row r="37" customFormat="false" ht="15" hidden="false" customHeight="false" outlineLevel="0" collapsed="false">
      <c r="A37" s="5" t="s">
        <v>221</v>
      </c>
    </row>
  </sheetData>
  <dataValidations count="1">
    <dataValidation allowBlank="true" errorStyle="stop" operator="between" showDropDown="false" showErrorMessage="false" showInputMessage="false" sqref="A6:A35" type="list">
      <formula1>'Portfolio Summary'!$A$6:$A$9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2.0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223</v>
      </c>
    </row>
    <row r="5" customFormat="false" ht="27.75" hidden="false" customHeight="true" outlineLevel="0" collapsed="false">
      <c r="A5" s="7" t="s">
        <v>224</v>
      </c>
      <c r="B5" s="7" t="s">
        <v>42</v>
      </c>
      <c r="C5" s="7" t="s">
        <v>225</v>
      </c>
      <c r="D5" s="7" t="s">
        <v>226</v>
      </c>
      <c r="E5" s="7" t="s">
        <v>227</v>
      </c>
    </row>
    <row r="6" customFormat="false" ht="15" hidden="false" customHeight="false" outlineLevel="0" collapsed="false">
      <c r="A6" s="8" t="s">
        <v>228</v>
      </c>
      <c r="B6" s="8" t="str">
        <f aca="false">'Portfolio Summary'!A6</f>
        <v>Maple St Duplex</v>
      </c>
      <c r="C6" s="8" t="s">
        <v>229</v>
      </c>
      <c r="D6" s="13" t="n">
        <v>16000</v>
      </c>
      <c r="E6" s="8" t="n">
        <v>1</v>
      </c>
    </row>
    <row r="7" customFormat="false" ht="15" hidden="false" customHeight="false" outlineLevel="0" collapsed="false">
      <c r="A7" s="9" t="s">
        <v>228</v>
      </c>
      <c r="B7" s="9" t="str">
        <f aca="false">'Portfolio Summary'!A7</f>
        <v>Property 2</v>
      </c>
      <c r="C7" s="9"/>
      <c r="D7" s="14"/>
      <c r="E7" s="9"/>
    </row>
    <row r="8" customFormat="false" ht="15" hidden="false" customHeight="false" outlineLevel="0" collapsed="false">
      <c r="A8" s="9" t="s">
        <v>228</v>
      </c>
      <c r="B8" s="9" t="str">
        <f aca="false">'Portfolio Summary'!A8</f>
        <v>Property 3</v>
      </c>
      <c r="C8" s="9"/>
      <c r="D8" s="14"/>
      <c r="E8" s="9"/>
    </row>
    <row r="9" customFormat="false" ht="15" hidden="false" customHeight="false" outlineLevel="0" collapsed="false">
      <c r="A9" s="9" t="s">
        <v>228</v>
      </c>
      <c r="B9" s="9" t="str">
        <f aca="false">'Portfolio Summary'!A9</f>
        <v>Property 4</v>
      </c>
      <c r="C9" s="9"/>
      <c r="D9" s="14"/>
      <c r="E9" s="9"/>
    </row>
    <row r="10" customFormat="false" ht="15" hidden="false" customHeight="false" outlineLevel="0" collapsed="false">
      <c r="A10" s="9" t="s">
        <v>230</v>
      </c>
      <c r="B10" s="9" t="str">
        <f aca="false">'Portfolio Summary'!A6</f>
        <v>Maple St Duplex</v>
      </c>
      <c r="C10" s="9"/>
      <c r="D10" s="14"/>
      <c r="E10" s="9"/>
    </row>
    <row r="11" customFormat="false" ht="15" hidden="false" customHeight="false" outlineLevel="0" collapsed="false">
      <c r="A11" s="9" t="s">
        <v>230</v>
      </c>
      <c r="B11" s="9" t="str">
        <f aca="false">'Portfolio Summary'!A7</f>
        <v>Property 2</v>
      </c>
      <c r="C11" s="9"/>
      <c r="D11" s="14"/>
      <c r="E11" s="9"/>
    </row>
    <row r="12" customFormat="false" ht="15" hidden="false" customHeight="false" outlineLevel="0" collapsed="false">
      <c r="A12" s="9" t="s">
        <v>230</v>
      </c>
      <c r="B12" s="9" t="str">
        <f aca="false">'Portfolio Summary'!A8</f>
        <v>Property 3</v>
      </c>
      <c r="C12" s="9"/>
      <c r="D12" s="14"/>
      <c r="E12" s="9"/>
    </row>
    <row r="13" customFormat="false" ht="15" hidden="false" customHeight="false" outlineLevel="0" collapsed="false">
      <c r="A13" s="9" t="s">
        <v>230</v>
      </c>
      <c r="B13" s="9" t="str">
        <f aca="false">'Portfolio Summary'!A9</f>
        <v>Property 4</v>
      </c>
      <c r="C13" s="9"/>
      <c r="D13" s="14"/>
      <c r="E13" s="9"/>
    </row>
    <row r="14" customFormat="false" ht="15" hidden="false" customHeight="false" outlineLevel="0" collapsed="false">
      <c r="A14" s="9" t="s">
        <v>231</v>
      </c>
      <c r="B14" s="9" t="str">
        <f aca="false">'Portfolio Summary'!A6</f>
        <v>Maple St Duplex</v>
      </c>
      <c r="C14" s="9"/>
      <c r="D14" s="14"/>
      <c r="E14" s="9"/>
    </row>
    <row r="15" customFormat="false" ht="15" hidden="false" customHeight="false" outlineLevel="0" collapsed="false">
      <c r="A15" s="9" t="s">
        <v>231</v>
      </c>
      <c r="B15" s="9" t="str">
        <f aca="false">'Portfolio Summary'!A7</f>
        <v>Property 2</v>
      </c>
      <c r="C15" s="9"/>
      <c r="D15" s="14"/>
      <c r="E15" s="9"/>
    </row>
    <row r="16" customFormat="false" ht="15" hidden="false" customHeight="false" outlineLevel="0" collapsed="false">
      <c r="A16" s="9" t="s">
        <v>231</v>
      </c>
      <c r="B16" s="9" t="str">
        <f aca="false">'Portfolio Summary'!A8</f>
        <v>Property 3</v>
      </c>
      <c r="C16" s="9"/>
      <c r="D16" s="14"/>
      <c r="E16" s="9"/>
    </row>
    <row r="17" customFormat="false" ht="15" hidden="false" customHeight="false" outlineLevel="0" collapsed="false">
      <c r="A17" s="9" t="s">
        <v>231</v>
      </c>
      <c r="B17" s="9" t="str">
        <f aca="false">'Portfolio Summary'!A9</f>
        <v>Property 4</v>
      </c>
      <c r="C17" s="9"/>
      <c r="D17" s="14"/>
      <c r="E17" s="9"/>
    </row>
    <row r="18" customFormat="false" ht="15" hidden="false" customHeight="false" outlineLevel="0" collapsed="false">
      <c r="A18" s="9" t="s">
        <v>232</v>
      </c>
      <c r="B18" s="9" t="str">
        <f aca="false">'Portfolio Summary'!A6</f>
        <v>Maple St Duplex</v>
      </c>
      <c r="C18" s="9"/>
      <c r="D18" s="14"/>
      <c r="E18" s="9"/>
    </row>
    <row r="19" customFormat="false" ht="15" hidden="false" customHeight="false" outlineLevel="0" collapsed="false">
      <c r="A19" s="9" t="s">
        <v>232</v>
      </c>
      <c r="B19" s="9" t="str">
        <f aca="false">'Portfolio Summary'!A7</f>
        <v>Property 2</v>
      </c>
      <c r="C19" s="9"/>
      <c r="D19" s="14"/>
      <c r="E19" s="9"/>
    </row>
    <row r="20" customFormat="false" ht="15" hidden="false" customHeight="false" outlineLevel="0" collapsed="false">
      <c r="A20" s="9" t="s">
        <v>232</v>
      </c>
      <c r="B20" s="9" t="str">
        <f aca="false">'Portfolio Summary'!A8</f>
        <v>Property 3</v>
      </c>
      <c r="C20" s="9"/>
      <c r="D20" s="14"/>
      <c r="E20" s="9"/>
    </row>
    <row r="21" customFormat="false" ht="15" hidden="false" customHeight="false" outlineLevel="0" collapsed="false">
      <c r="A21" s="9" t="s">
        <v>232</v>
      </c>
      <c r="B21" s="9" t="str">
        <f aca="false">'Portfolio Summary'!A9</f>
        <v>Property 4</v>
      </c>
      <c r="C21" s="9"/>
      <c r="D21" s="14"/>
      <c r="E21" s="9"/>
    </row>
    <row r="23" customFormat="false" ht="15" hidden="false" customHeight="false" outlineLevel="0" collapsed="false">
      <c r="A23" s="5" t="s">
        <v>233</v>
      </c>
    </row>
  </sheetData>
  <dataValidations count="1">
    <dataValidation allowBlank="true" errorStyle="stop" operator="between" showDropDown="false" showErrorMessage="false" showInputMessage="false" sqref="E6:E21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6"/>
  </cols>
  <sheetData>
    <row r="1" customFormat="false" ht="22.05" hidden="false" customHeight="false" outlineLevel="0" collapsed="false">
      <c r="A1" s="1" t="s">
        <v>234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235</v>
      </c>
    </row>
    <row r="5" customFormat="false" ht="27.75" hidden="false" customHeight="true" outlineLevel="0" collapsed="false">
      <c r="A5" s="7" t="s">
        <v>236</v>
      </c>
      <c r="B5" s="7" t="s">
        <v>237</v>
      </c>
      <c r="C5" s="7" t="s">
        <v>238</v>
      </c>
      <c r="D5" s="7" t="s">
        <v>239</v>
      </c>
    </row>
    <row r="6" customFormat="false" ht="15" hidden="false" customHeight="false" outlineLevel="0" collapsed="false">
      <c r="A6" s="9" t="s">
        <v>118</v>
      </c>
      <c r="B6" s="9"/>
      <c r="C6" s="9"/>
      <c r="D6" s="9"/>
    </row>
    <row r="7" customFormat="false" ht="15" hidden="false" customHeight="false" outlineLevel="0" collapsed="false">
      <c r="A7" s="9" t="s">
        <v>123</v>
      </c>
      <c r="B7" s="9"/>
      <c r="C7" s="9"/>
      <c r="D7" s="9"/>
    </row>
    <row r="8" customFormat="false" ht="15" hidden="false" customHeight="false" outlineLevel="0" collapsed="false">
      <c r="A8" s="9" t="s">
        <v>240</v>
      </c>
      <c r="B8" s="9"/>
      <c r="C8" s="9"/>
      <c r="D8" s="9"/>
    </row>
    <row r="9" customFormat="false" ht="15" hidden="false" customHeight="false" outlineLevel="0" collapsed="false">
      <c r="A9" s="9" t="s">
        <v>241</v>
      </c>
      <c r="B9" s="9"/>
      <c r="C9" s="9"/>
      <c r="D9" s="9"/>
    </row>
    <row r="10" customFormat="false" ht="15" hidden="false" customHeight="false" outlineLevel="0" collapsed="false">
      <c r="A10" s="9" t="s">
        <v>242</v>
      </c>
      <c r="B10" s="9"/>
      <c r="C10" s="9"/>
      <c r="D10" s="9"/>
    </row>
    <row r="11" customFormat="false" ht="15" hidden="false" customHeight="false" outlineLevel="0" collapsed="false">
      <c r="A11" s="9" t="s">
        <v>243</v>
      </c>
      <c r="B11" s="9"/>
      <c r="C11" s="9"/>
      <c r="D11" s="9"/>
    </row>
    <row r="12" customFormat="false" ht="15" hidden="false" customHeight="false" outlineLevel="0" collapsed="false">
      <c r="A12" s="9" t="s">
        <v>244</v>
      </c>
      <c r="B12" s="9"/>
      <c r="C12" s="9"/>
      <c r="D12" s="9"/>
    </row>
    <row r="13" customFormat="false" ht="15" hidden="false" customHeight="false" outlineLevel="0" collapsed="false">
      <c r="A13" s="9" t="s">
        <v>75</v>
      </c>
      <c r="B13" s="9"/>
      <c r="C13" s="9"/>
      <c r="D13" s="9"/>
    </row>
    <row r="14" customFormat="false" ht="15" hidden="false" customHeight="false" outlineLevel="0" collapsed="false">
      <c r="A14" s="9" t="s">
        <v>245</v>
      </c>
      <c r="B14" s="9"/>
      <c r="C14" s="9"/>
      <c r="D14" s="9"/>
    </row>
    <row r="15" customFormat="false" ht="15" hidden="false" customHeight="false" outlineLevel="0" collapsed="false">
      <c r="A15" s="9" t="s">
        <v>246</v>
      </c>
      <c r="B15" s="9"/>
      <c r="C15" s="9"/>
      <c r="D15" s="9"/>
    </row>
    <row r="16" customFormat="false" ht="15" hidden="false" customHeight="false" outlineLevel="0" collapsed="false">
      <c r="A16" s="9" t="s">
        <v>247</v>
      </c>
      <c r="B16" s="9"/>
      <c r="C16" s="9"/>
      <c r="D16" s="9"/>
    </row>
    <row r="17" customFormat="false" ht="15" hidden="false" customHeight="false" outlineLevel="0" collapsed="false">
      <c r="A17" s="9" t="s">
        <v>248</v>
      </c>
      <c r="B17" s="9"/>
      <c r="C17" s="9"/>
      <c r="D17" s="9"/>
    </row>
    <row r="19" customFormat="false" ht="15" hidden="false" customHeight="false" outlineLevel="0" collapsed="false">
      <c r="A19" s="5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2026-09-25T02:03:07Z</dcterms:created>
  <dc:creator>openpyxl</dc:creator>
  <dc:description/>
  <dc:language>en-US</dc:language>
  <cp:lastModifiedBy/>
  <dcterms:modified xsi:type="dcterms:W3CDTF">2026-09-25T02:03:07Z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